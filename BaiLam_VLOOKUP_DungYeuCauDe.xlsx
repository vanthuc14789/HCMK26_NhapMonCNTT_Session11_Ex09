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SachBaoCao" sheetId="1" state="visible" r:id="rId1"/>
    <sheet xmlns:r="http://schemas.openxmlformats.org/officeDocument/2006/relationships" name="DanhMucTacGia" sheetId="2" state="visible" r:id="rId2"/>
    <sheet xmlns:r="http://schemas.openxmlformats.org/officeDocument/2006/relationships" name="PhanTich_BaiLam" sheetId="3" state="visible" r:id="rId3"/>
  </sheets>
  <definedNames>
    <definedName name="_xlnm._FilterDatabase" localSheetId="0" hidden="1">'DanhSachBaoCao'!$A$1:$F$81</definedName>
    <definedName name="_xlnm._FilterDatabase" localSheetId="1" hidden="1">'DanhMucTacGia'!$A$1:$E$4</definedName>
  </definedNames>
  <calcPr calcId="124519" calcMode="auto" fullCalcOnLoad="1" forceFullCalc="1"/>
</workbook>
</file>

<file path=xl/styles.xml><?xml version="1.0" encoding="utf-8"?>
<styleSheet xmlns="http://schemas.openxmlformats.org/spreadsheetml/2006/main">
  <numFmts count="1">
    <numFmt numFmtId="164" formatCode="#,##0 &quot;VNĐ&quot;"/>
  </numFmts>
  <fonts count="7">
    <font>
      <name val="Calibri"/>
      <family val="2"/>
      <color theme="1"/>
      <sz val="11"/>
      <scheme val="minor"/>
    </font>
    <font>
      <b val="1"/>
      <color rgb="001F4E78"/>
      <sz val="16"/>
    </font>
    <font>
      <b val="1"/>
      <color rgb="001F4E78"/>
      <sz val="13"/>
    </font>
    <font>
      <b val="1"/>
      <color rgb="001F4E78"/>
      <sz val="12"/>
    </font>
    <font>
      <b val="1"/>
      <color rgb="00C00000"/>
    </font>
    <font>
      <b val="1"/>
      <color rgb="00FFFFFF"/>
    </font>
    <font>
      <b val="1"/>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9">
    <xf numFmtId="0" fontId="0" fillId="0" borderId="0" pivotButton="0" quotePrefix="0" xfId="0"/>
    <xf numFmtId="0" fontId="5" fillId="2" borderId="0" applyAlignment="1" pivotButton="0" quotePrefix="0" xfId="0">
      <alignment horizontal="center" vertical="center" wrapText="1"/>
    </xf>
    <xf numFmtId="0" fontId="0" fillId="0" borderId="1" applyAlignment="1" pivotButton="0" quotePrefix="0" xfId="0">
      <alignment vertical="center" wrapText="1"/>
    </xf>
    <xf numFmtId="164" fontId="0" fillId="0" borderId="1" applyAlignment="1" pivotButton="0" quotePrefix="0" xfId="0">
      <alignment vertical="center" wrapText="1"/>
    </xf>
    <xf numFmtId="0" fontId="1" fillId="0"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6"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OpenAI</author>
  </authors>
  <commentList>
    <comment ref="D2" authorId="0" shapeId="0">
      <text>
        <t>Công thức VLOOKUP + TRIM + IFERROR, dùng vùng tra cứu cố định bằng $.</t>
      </text>
    </comment>
    <comment ref="C7" authorId="0" shapeId="0">
      <text>
        <t>Mã TG001/002/003 có thể được chỉnh sửa để kiểm tra; một số dòng cố ý có khoảng trắng cuối mã để kiểm tra TRIM.</t>
      </text>
    </comment>
    <comment ref="C19" authorId="0" shapeId="0">
      <text>
        <t>Mã TG101 không có trong danh mục để kiểm tra IFERROR.</t>
      </text>
    </comment>
  </commentList>
</comments>
</file>

<file path=xl/tables/table1.xml><?xml version="1.0" encoding="utf-8"?>
<table xmlns="http://schemas.openxmlformats.org/spreadsheetml/2006/main" id="1" name="BangDanhSachBaoCao" displayName="BangDanhSachBaoCao" ref="A1:F81" headerRowCount="1">
  <autoFilter ref="A1:F81"/>
  <tableColumns count="6">
    <tableColumn id="1" name="Mã báo cáo"/>
    <tableColumn id="2" name="Tên báo cáo"/>
    <tableColumn id="3" name="Mã TG"/>
    <tableColumn id="4" name="Tên Tác Giả"/>
    <tableColumn id="5" name="Phòng trình bày"/>
    <tableColumn id="6" name="Thù lao"/>
  </tableColumns>
  <tableStyleInfo name="TableStyleMedium2" showFirstColumn="0" showLastColumn="0" showRowStripes="1" showColumnStripes="0"/>
</table>
</file>

<file path=xl/tables/table2.xml><?xml version="1.0" encoding="utf-8"?>
<table xmlns="http://schemas.openxmlformats.org/spreadsheetml/2006/main" id="2" name="BangDanhMucTacGia" displayName="BangDanhMucTacGia" ref="A1:E4" headerRowCount="1">
  <autoFilter ref="A1:E4"/>
  <tableColumns count="5">
    <tableColumn id="1" name="Mã TG"/>
    <tableColumn id="2" name="Tên Tác Giả"/>
    <tableColumn id="3" name="Khoa/Viện"/>
    <tableColumn id="4" name="Phòng"/>
    <tableColumn id="5" name="Thù La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F81"/>
  <sheetViews>
    <sheetView workbookViewId="0">
      <pane ySplit="1" topLeftCell="A2" activePane="bottomLeft" state="frozen"/>
      <selection pane="bottomLeft" activeCell="A1" sqref="A1"/>
    </sheetView>
  </sheetViews>
  <sheetFormatPr baseColWidth="8" defaultRowHeight="15"/>
  <cols>
    <col width="14" customWidth="1" min="1" max="1"/>
    <col width="31" customWidth="1" min="2" max="2"/>
    <col width="14" customWidth="1" min="3" max="3"/>
    <col width="38" customWidth="1" min="4" max="4"/>
    <col width="38" customWidth="1" min="5" max="5"/>
    <col width="38" customWidth="1" min="6" max="6"/>
  </cols>
  <sheetData>
    <row r="1" ht="30" customHeight="1">
      <c r="A1" s="1" t="inlineStr">
        <is>
          <t>Mã báo cáo</t>
        </is>
      </c>
      <c r="B1" s="1" t="inlineStr">
        <is>
          <t>Tên báo cáo</t>
        </is>
      </c>
      <c r="C1" s="1" t="inlineStr">
        <is>
          <t>Mã TG</t>
        </is>
      </c>
      <c r="D1" s="1" t="inlineStr">
        <is>
          <t>Tên Tác Giả</t>
        </is>
      </c>
      <c r="E1" s="1" t="inlineStr">
        <is>
          <t>Phòng trình bày</t>
        </is>
      </c>
      <c r="F1" s="1" t="inlineStr">
        <is>
          <t>Thù lao</t>
        </is>
      </c>
    </row>
    <row r="2">
      <c r="A2" s="2" t="inlineStr">
        <is>
          <t>BC001</t>
        </is>
      </c>
      <c r="B2" s="2" t="inlineStr">
        <is>
          <t>Ứng dụng công nghệ thông tin</t>
        </is>
      </c>
      <c r="C2" s="2" t="inlineStr">
        <is>
          <t>TG001</t>
        </is>
      </c>
      <c r="D2" s="2">
        <f>IFERROR(VLOOKUP(TRIM(C2),'DanhMucTacGia'!$A$2:$E$81,2,FALSE),"Chưa cập nhật")</f>
        <v/>
      </c>
      <c r="E2" s="2">
        <f>IFERROR(VLOOKUP(TRIM(C2),'DanhMucTacGia'!$A$2:$E$81,4,FALSE),"Chưa cập nhật")</f>
        <v/>
      </c>
      <c r="F2" s="3">
        <f>IFERROR(VLOOKUP(TRIM(C2),'DanhMucTacGia'!$A$2:$E$81,5,FALSE),"Chưa cập nhật")</f>
        <v/>
      </c>
    </row>
    <row r="3">
      <c r="A3" s="2" t="inlineStr">
        <is>
          <t>BC002</t>
        </is>
      </c>
      <c r="B3" s="2" t="inlineStr">
        <is>
          <t>An toàn thông tin mạng</t>
        </is>
      </c>
      <c r="C3" s="2" t="inlineStr">
        <is>
          <t>TG002</t>
        </is>
      </c>
      <c r="D3" s="2">
        <f>IFERROR(VLOOKUP(TRIM(C3),'DanhMucTacGia'!$A$2:$E$81,2,FALSE),"Chưa cập nhật")</f>
        <v/>
      </c>
      <c r="E3" s="2">
        <f>IFERROR(VLOOKUP(TRIM(C3),'DanhMucTacGia'!$A$2:$E$81,4,FALSE),"Chưa cập nhật")</f>
        <v/>
      </c>
      <c r="F3" s="3">
        <f>IFERROR(VLOOKUP(TRIM(C3),'DanhMucTacGia'!$A$2:$E$81,5,FALSE),"Chưa cập nhật")</f>
        <v/>
      </c>
    </row>
    <row r="4">
      <c r="A4" s="2" t="inlineStr">
        <is>
          <t>BC003</t>
        </is>
      </c>
      <c r="B4" s="2" t="inlineStr">
        <is>
          <t>Chuyển đổi số</t>
        </is>
      </c>
      <c r="C4" s="2" t="inlineStr">
        <is>
          <t>TG003</t>
        </is>
      </c>
      <c r="D4" s="2">
        <f>IFERROR(VLOOKUP(TRIM(C4),'DanhMucTacGia'!$A$2:$E$81,2,FALSE),"Chưa cập nhật")</f>
        <v/>
      </c>
      <c r="E4" s="2">
        <f>IFERROR(VLOOKUP(TRIM(C4),'DanhMucTacGia'!$A$2:$E$81,4,FALSE),"Chưa cập nhật")</f>
        <v/>
      </c>
      <c r="F4" s="3">
        <f>IFERROR(VLOOKUP(TRIM(C4),'DanhMucTacGia'!$A$2:$E$81,5,FALSE),"Chưa cập nhật")</f>
        <v/>
      </c>
    </row>
    <row r="5">
      <c r="A5" s="2" t="inlineStr">
        <is>
          <t>BC004</t>
        </is>
      </c>
      <c r="B5" s="2" t="inlineStr">
        <is>
          <t>Trí tuệ nhân tạo</t>
        </is>
      </c>
      <c r="C5" s="2" t="inlineStr">
        <is>
          <t>TG001</t>
        </is>
      </c>
      <c r="D5" s="2">
        <f>IFERROR(VLOOKUP(TRIM(C5),'DanhMucTacGia'!$A$2:$E$81,2,FALSE),"Chưa cập nhật")</f>
        <v/>
      </c>
      <c r="E5" s="2">
        <f>IFERROR(VLOOKUP(TRIM(C5),'DanhMucTacGia'!$A$2:$E$81,4,FALSE),"Chưa cập nhật")</f>
        <v/>
      </c>
      <c r="F5" s="3">
        <f>IFERROR(VLOOKUP(TRIM(C5),'DanhMucTacGia'!$A$2:$E$81,5,FALSE),"Chưa cập nhật")</f>
        <v/>
      </c>
    </row>
    <row r="6">
      <c r="A6" s="2" t="inlineStr">
        <is>
          <t>BC005</t>
        </is>
      </c>
      <c r="B6" s="2" t="inlineStr">
        <is>
          <t>Phân tích dữ liệu</t>
        </is>
      </c>
      <c r="C6" s="2" t="inlineStr">
        <is>
          <t>TG002</t>
        </is>
      </c>
      <c r="D6" s="2">
        <f>IFERROR(VLOOKUP(TRIM(C6),'DanhMucTacGia'!$A$2:$E$81,2,FALSE),"Chưa cập nhật")</f>
        <v/>
      </c>
      <c r="E6" s="2">
        <f>IFERROR(VLOOKUP(TRIM(C6),'DanhMucTacGia'!$A$2:$E$81,4,FALSE),"Chưa cập nhật")</f>
        <v/>
      </c>
      <c r="F6" s="3">
        <f>IFERROR(VLOOKUP(TRIM(C6),'DanhMucTacGia'!$A$2:$E$81,5,FALSE),"Chưa cập nhật")</f>
        <v/>
      </c>
    </row>
    <row r="7">
      <c r="A7" s="2" t="inlineStr">
        <is>
          <t>BC006</t>
        </is>
      </c>
      <c r="B7" s="2" t="inlineStr">
        <is>
          <t>Điện toán đám mây</t>
        </is>
      </c>
      <c r="C7" s="2" t="inlineStr">
        <is>
          <t xml:space="preserve">TG003 </t>
        </is>
      </c>
      <c r="D7" s="2">
        <f>IFERROR(VLOOKUP(TRIM(C7),'DanhMucTacGia'!$A$2:$E$81,2,FALSE),"Chưa cập nhật")</f>
        <v/>
      </c>
      <c r="E7" s="2">
        <f>IFERROR(VLOOKUP(TRIM(C7),'DanhMucTacGia'!$A$2:$E$81,4,FALSE),"Chưa cập nhật")</f>
        <v/>
      </c>
      <c r="F7" s="3">
        <f>IFERROR(VLOOKUP(TRIM(C7),'DanhMucTacGia'!$A$2:$E$81,5,FALSE),"Chưa cập nhật")</f>
        <v/>
      </c>
    </row>
    <row r="8">
      <c r="A8" s="2" t="inlineStr">
        <is>
          <t>BC007</t>
        </is>
      </c>
      <c r="B8" s="2" t="inlineStr">
        <is>
          <t>Phát triển phần mềm</t>
        </is>
      </c>
      <c r="C8" s="2" t="inlineStr">
        <is>
          <t>TG001</t>
        </is>
      </c>
      <c r="D8" s="2">
        <f>IFERROR(VLOOKUP(TRIM(C8),'DanhMucTacGia'!$A$2:$E$81,2,FALSE),"Chưa cập nhật")</f>
        <v/>
      </c>
      <c r="E8" s="2">
        <f>IFERROR(VLOOKUP(TRIM(C8),'DanhMucTacGia'!$A$2:$E$81,4,FALSE),"Chưa cập nhật")</f>
        <v/>
      </c>
      <c r="F8" s="3">
        <f>IFERROR(VLOOKUP(TRIM(C8),'DanhMucTacGia'!$A$2:$E$81,5,FALSE),"Chưa cập nhật")</f>
        <v/>
      </c>
    </row>
    <row r="9">
      <c r="A9" s="2" t="inlineStr">
        <is>
          <t>BC008</t>
        </is>
      </c>
      <c r="B9" s="2" t="inlineStr">
        <is>
          <t>Internet vạn vật</t>
        </is>
      </c>
      <c r="C9" s="2" t="inlineStr">
        <is>
          <t>TG002</t>
        </is>
      </c>
      <c r="D9" s="2">
        <f>IFERROR(VLOOKUP(TRIM(C9),'DanhMucTacGia'!$A$2:$E$81,2,FALSE),"Chưa cập nhật")</f>
        <v/>
      </c>
      <c r="E9" s="2">
        <f>IFERROR(VLOOKUP(TRIM(C9),'DanhMucTacGia'!$A$2:$E$81,4,FALSE),"Chưa cập nhật")</f>
        <v/>
      </c>
      <c r="F9" s="3">
        <f>IFERROR(VLOOKUP(TRIM(C9),'DanhMucTacGia'!$A$2:$E$81,5,FALSE),"Chưa cập nhật")</f>
        <v/>
      </c>
    </row>
    <row r="10">
      <c r="A10" s="2" t="inlineStr">
        <is>
          <t>BC009</t>
        </is>
      </c>
      <c r="B10" s="2" t="inlineStr">
        <is>
          <t>Hệ thống thông tin</t>
        </is>
      </c>
      <c r="C10" s="2" t="inlineStr">
        <is>
          <t>TG003</t>
        </is>
      </c>
      <c r="D10" s="2">
        <f>IFERROR(VLOOKUP(TRIM(C10),'DanhMucTacGia'!$A$2:$E$81,2,FALSE),"Chưa cập nhật")</f>
        <v/>
      </c>
      <c r="E10" s="2">
        <f>IFERROR(VLOOKUP(TRIM(C10),'DanhMucTacGia'!$A$2:$E$81,4,FALSE),"Chưa cập nhật")</f>
        <v/>
      </c>
      <c r="F10" s="3">
        <f>IFERROR(VLOOKUP(TRIM(C10),'DanhMucTacGia'!$A$2:$E$81,5,FALSE),"Chưa cập nhật")</f>
        <v/>
      </c>
    </row>
    <row r="11">
      <c r="A11" s="2" t="inlineStr">
        <is>
          <t>BC010</t>
        </is>
      </c>
      <c r="B11" s="2" t="inlineStr">
        <is>
          <t>Cơ sở dữ liệu</t>
        </is>
      </c>
      <c r="C11" s="2" t="inlineStr">
        <is>
          <t>TG001</t>
        </is>
      </c>
      <c r="D11" s="2">
        <f>IFERROR(VLOOKUP(TRIM(C11),'DanhMucTacGia'!$A$2:$E$81,2,FALSE),"Chưa cập nhật")</f>
        <v/>
      </c>
      <c r="E11" s="2">
        <f>IFERROR(VLOOKUP(TRIM(C11),'DanhMucTacGia'!$A$2:$E$81,4,FALSE),"Chưa cập nhật")</f>
        <v/>
      </c>
      <c r="F11" s="3">
        <f>IFERROR(VLOOKUP(TRIM(C11),'DanhMucTacGia'!$A$2:$E$81,5,FALSE),"Chưa cập nhật")</f>
        <v/>
      </c>
    </row>
    <row r="12">
      <c r="A12" s="2" t="inlineStr">
        <is>
          <t>BC011</t>
        </is>
      </c>
      <c r="B12" s="2" t="inlineStr">
        <is>
          <t>Ứng dụng AI trong giáo dục</t>
        </is>
      </c>
      <c r="C12" s="2" t="inlineStr">
        <is>
          <t>TG002</t>
        </is>
      </c>
      <c r="D12" s="2">
        <f>IFERROR(VLOOKUP(TRIM(C12),'DanhMucTacGia'!$A$2:$E$81,2,FALSE),"Chưa cập nhật")</f>
        <v/>
      </c>
      <c r="E12" s="2">
        <f>IFERROR(VLOOKUP(TRIM(C12),'DanhMucTacGia'!$A$2:$E$81,4,FALSE),"Chưa cập nhật")</f>
        <v/>
      </c>
      <c r="F12" s="3">
        <f>IFERROR(VLOOKUP(TRIM(C12),'DanhMucTacGia'!$A$2:$E$81,5,FALSE),"Chưa cập nhật")</f>
        <v/>
      </c>
    </row>
    <row r="13">
      <c r="A13" s="2" t="inlineStr">
        <is>
          <t>BC012</t>
        </is>
      </c>
      <c r="B13" s="2" t="inlineStr">
        <is>
          <t>Bảo mật dữ liệu</t>
        </is>
      </c>
      <c r="C13" s="2" t="inlineStr">
        <is>
          <t>TG003</t>
        </is>
      </c>
      <c r="D13" s="2">
        <f>IFERROR(VLOOKUP(TRIM(C13),'DanhMucTacGia'!$A$2:$E$81,2,FALSE),"Chưa cập nhật")</f>
        <v/>
      </c>
      <c r="E13" s="2">
        <f>IFERROR(VLOOKUP(TRIM(C13),'DanhMucTacGia'!$A$2:$E$81,4,FALSE),"Chưa cập nhật")</f>
        <v/>
      </c>
      <c r="F13" s="3">
        <f>IFERROR(VLOOKUP(TRIM(C13),'DanhMucTacGia'!$A$2:$E$81,5,FALSE),"Chưa cập nhật")</f>
        <v/>
      </c>
    </row>
    <row r="14">
      <c r="A14" s="2" t="inlineStr">
        <is>
          <t>BC013</t>
        </is>
      </c>
      <c r="B14" s="2" t="inlineStr">
        <is>
          <t>Ứng dụng công nghệ thông tin</t>
        </is>
      </c>
      <c r="C14" s="2" t="inlineStr">
        <is>
          <t>TG001</t>
        </is>
      </c>
      <c r="D14" s="2">
        <f>IFERROR(VLOOKUP(TRIM(C14),'DanhMucTacGia'!$A$2:$E$81,2,FALSE),"Chưa cập nhật")</f>
        <v/>
      </c>
      <c r="E14" s="2">
        <f>IFERROR(VLOOKUP(TRIM(C14),'DanhMucTacGia'!$A$2:$E$81,4,FALSE),"Chưa cập nhật")</f>
        <v/>
      </c>
      <c r="F14" s="3">
        <f>IFERROR(VLOOKUP(TRIM(C14),'DanhMucTacGia'!$A$2:$E$81,5,FALSE),"Chưa cập nhật")</f>
        <v/>
      </c>
    </row>
    <row r="15">
      <c r="A15" s="2" t="inlineStr">
        <is>
          <t>BC014</t>
        </is>
      </c>
      <c r="B15" s="2" t="inlineStr">
        <is>
          <t>An toàn thông tin mạng</t>
        </is>
      </c>
      <c r="C15" s="2" t="inlineStr">
        <is>
          <t>TG002</t>
        </is>
      </c>
      <c r="D15" s="2">
        <f>IFERROR(VLOOKUP(TRIM(C15),'DanhMucTacGia'!$A$2:$E$81,2,FALSE),"Chưa cập nhật")</f>
        <v/>
      </c>
      <c r="E15" s="2">
        <f>IFERROR(VLOOKUP(TRIM(C15),'DanhMucTacGia'!$A$2:$E$81,4,FALSE),"Chưa cập nhật")</f>
        <v/>
      </c>
      <c r="F15" s="3">
        <f>IFERROR(VLOOKUP(TRIM(C15),'DanhMucTacGia'!$A$2:$E$81,5,FALSE),"Chưa cập nhật")</f>
        <v/>
      </c>
    </row>
    <row r="16">
      <c r="A16" s="2" t="inlineStr">
        <is>
          <t>BC015</t>
        </is>
      </c>
      <c r="B16" s="2" t="inlineStr">
        <is>
          <t>Chuyển đổi số</t>
        </is>
      </c>
      <c r="C16" s="2" t="inlineStr">
        <is>
          <t>TG003</t>
        </is>
      </c>
      <c r="D16" s="2">
        <f>IFERROR(VLOOKUP(TRIM(C16),'DanhMucTacGia'!$A$2:$E$81,2,FALSE),"Chưa cập nhật")</f>
        <v/>
      </c>
      <c r="E16" s="2">
        <f>IFERROR(VLOOKUP(TRIM(C16),'DanhMucTacGia'!$A$2:$E$81,4,FALSE),"Chưa cập nhật")</f>
        <v/>
      </c>
      <c r="F16" s="3">
        <f>IFERROR(VLOOKUP(TRIM(C16),'DanhMucTacGia'!$A$2:$E$81,5,FALSE),"Chưa cập nhật")</f>
        <v/>
      </c>
    </row>
    <row r="17">
      <c r="A17" s="2" t="inlineStr">
        <is>
          <t>BC016</t>
        </is>
      </c>
      <c r="B17" s="2" t="inlineStr">
        <is>
          <t>Trí tuệ nhân tạo</t>
        </is>
      </c>
      <c r="C17" s="2" t="inlineStr">
        <is>
          <t>TG001</t>
        </is>
      </c>
      <c r="D17" s="2">
        <f>IFERROR(VLOOKUP(TRIM(C17),'DanhMucTacGia'!$A$2:$E$81,2,FALSE),"Chưa cập nhật")</f>
        <v/>
      </c>
      <c r="E17" s="2">
        <f>IFERROR(VLOOKUP(TRIM(C17),'DanhMucTacGia'!$A$2:$E$81,4,FALSE),"Chưa cập nhật")</f>
        <v/>
      </c>
      <c r="F17" s="3">
        <f>IFERROR(VLOOKUP(TRIM(C17),'DanhMucTacGia'!$A$2:$E$81,5,FALSE),"Chưa cập nhật")</f>
        <v/>
      </c>
    </row>
    <row r="18">
      <c r="A18" s="2" t="inlineStr">
        <is>
          <t>BC017</t>
        </is>
      </c>
      <c r="B18" s="2" t="inlineStr">
        <is>
          <t>Phân tích dữ liệu</t>
        </is>
      </c>
      <c r="C18" s="2" t="inlineStr">
        <is>
          <t>TG002</t>
        </is>
      </c>
      <c r="D18" s="2">
        <f>IFERROR(VLOOKUP(TRIM(C18),'DanhMucTacGia'!$A$2:$E$81,2,FALSE),"Chưa cập nhật")</f>
        <v/>
      </c>
      <c r="E18" s="2">
        <f>IFERROR(VLOOKUP(TRIM(C18),'DanhMucTacGia'!$A$2:$E$81,4,FALSE),"Chưa cập nhật")</f>
        <v/>
      </c>
      <c r="F18" s="3">
        <f>IFERROR(VLOOKUP(TRIM(C18),'DanhMucTacGia'!$A$2:$E$81,5,FALSE),"Chưa cập nhật")</f>
        <v/>
      </c>
    </row>
    <row r="19">
      <c r="A19" s="2" t="inlineStr">
        <is>
          <t>BC018</t>
        </is>
      </c>
      <c r="B19" s="2" t="inlineStr">
        <is>
          <t>Điện toán đám mây</t>
        </is>
      </c>
      <c r="C19" s="2" t="inlineStr">
        <is>
          <t>TG101</t>
        </is>
      </c>
      <c r="D19" s="2">
        <f>IFERROR(VLOOKUP(TRIM(C19),'DanhMucTacGia'!$A$2:$E$81,2,FALSE),"Chưa cập nhật")</f>
        <v/>
      </c>
      <c r="E19" s="2">
        <f>IFERROR(VLOOKUP(TRIM(C19),'DanhMucTacGia'!$A$2:$E$81,4,FALSE),"Chưa cập nhật")</f>
        <v/>
      </c>
      <c r="F19" s="3">
        <f>IFERROR(VLOOKUP(TRIM(C19),'DanhMucTacGia'!$A$2:$E$81,5,FALSE),"Chưa cập nhật")</f>
        <v/>
      </c>
    </row>
    <row r="20">
      <c r="A20" s="2" t="inlineStr">
        <is>
          <t>BC019</t>
        </is>
      </c>
      <c r="B20" s="2" t="inlineStr">
        <is>
          <t>Phát triển phần mềm</t>
        </is>
      </c>
      <c r="C20" s="2" t="inlineStr">
        <is>
          <t>TG001</t>
        </is>
      </c>
      <c r="D20" s="2">
        <f>IFERROR(VLOOKUP(TRIM(C20),'DanhMucTacGia'!$A$2:$E$81,2,FALSE),"Chưa cập nhật")</f>
        <v/>
      </c>
      <c r="E20" s="2">
        <f>IFERROR(VLOOKUP(TRIM(C20),'DanhMucTacGia'!$A$2:$E$81,4,FALSE),"Chưa cập nhật")</f>
        <v/>
      </c>
      <c r="F20" s="3">
        <f>IFERROR(VLOOKUP(TRIM(C20),'DanhMucTacGia'!$A$2:$E$81,5,FALSE),"Chưa cập nhật")</f>
        <v/>
      </c>
    </row>
    <row r="21">
      <c r="A21" s="2" t="inlineStr">
        <is>
          <t>BC020</t>
        </is>
      </c>
      <c r="B21" s="2" t="inlineStr">
        <is>
          <t>Internet vạn vật</t>
        </is>
      </c>
      <c r="C21" s="2" t="inlineStr">
        <is>
          <t>TG002</t>
        </is>
      </c>
      <c r="D21" s="2">
        <f>IFERROR(VLOOKUP(TRIM(C21),'DanhMucTacGia'!$A$2:$E$81,2,FALSE),"Chưa cập nhật")</f>
        <v/>
      </c>
      <c r="E21" s="2">
        <f>IFERROR(VLOOKUP(TRIM(C21),'DanhMucTacGia'!$A$2:$E$81,4,FALSE),"Chưa cập nhật")</f>
        <v/>
      </c>
      <c r="F21" s="3">
        <f>IFERROR(VLOOKUP(TRIM(C21),'DanhMucTacGia'!$A$2:$E$81,5,FALSE),"Chưa cập nhật")</f>
        <v/>
      </c>
    </row>
    <row r="22">
      <c r="A22" s="2" t="inlineStr">
        <is>
          <t>BC021</t>
        </is>
      </c>
      <c r="B22" s="2" t="inlineStr">
        <is>
          <t>Hệ thống thông tin</t>
        </is>
      </c>
      <c r="C22" s="2" t="inlineStr">
        <is>
          <t>TG003</t>
        </is>
      </c>
      <c r="D22" s="2">
        <f>IFERROR(VLOOKUP(TRIM(C22),'DanhMucTacGia'!$A$2:$E$81,2,FALSE),"Chưa cập nhật")</f>
        <v/>
      </c>
      <c r="E22" s="2">
        <f>IFERROR(VLOOKUP(TRIM(C22),'DanhMucTacGia'!$A$2:$E$81,4,FALSE),"Chưa cập nhật")</f>
        <v/>
      </c>
      <c r="F22" s="3">
        <f>IFERROR(VLOOKUP(TRIM(C22),'DanhMucTacGia'!$A$2:$E$81,5,FALSE),"Chưa cập nhật")</f>
        <v/>
      </c>
    </row>
    <row r="23">
      <c r="A23" s="2" t="inlineStr">
        <is>
          <t>BC022</t>
        </is>
      </c>
      <c r="B23" s="2" t="inlineStr">
        <is>
          <t>Cơ sở dữ liệu</t>
        </is>
      </c>
      <c r="C23" s="2" t="inlineStr">
        <is>
          <t>TG001</t>
        </is>
      </c>
      <c r="D23" s="2">
        <f>IFERROR(VLOOKUP(TRIM(C23),'DanhMucTacGia'!$A$2:$E$81,2,FALSE),"Chưa cập nhật")</f>
        <v/>
      </c>
      <c r="E23" s="2">
        <f>IFERROR(VLOOKUP(TRIM(C23),'DanhMucTacGia'!$A$2:$E$81,4,FALSE),"Chưa cập nhật")</f>
        <v/>
      </c>
      <c r="F23" s="3">
        <f>IFERROR(VLOOKUP(TRIM(C23),'DanhMucTacGia'!$A$2:$E$81,5,FALSE),"Chưa cập nhật")</f>
        <v/>
      </c>
    </row>
    <row r="24">
      <c r="A24" s="2" t="inlineStr">
        <is>
          <t>BC023</t>
        </is>
      </c>
      <c r="B24" s="2" t="inlineStr">
        <is>
          <t>Ứng dụng AI trong giáo dục</t>
        </is>
      </c>
      <c r="C24" s="2" t="inlineStr">
        <is>
          <t>TG002</t>
        </is>
      </c>
      <c r="D24" s="2">
        <f>IFERROR(VLOOKUP(TRIM(C24),'DanhMucTacGia'!$A$2:$E$81,2,FALSE),"Chưa cập nhật")</f>
        <v/>
      </c>
      <c r="E24" s="2">
        <f>IFERROR(VLOOKUP(TRIM(C24),'DanhMucTacGia'!$A$2:$E$81,4,FALSE),"Chưa cập nhật")</f>
        <v/>
      </c>
      <c r="F24" s="3">
        <f>IFERROR(VLOOKUP(TRIM(C24),'DanhMucTacGia'!$A$2:$E$81,5,FALSE),"Chưa cập nhật")</f>
        <v/>
      </c>
    </row>
    <row r="25">
      <c r="A25" s="2" t="inlineStr">
        <is>
          <t>BC024</t>
        </is>
      </c>
      <c r="B25" s="2" t="inlineStr">
        <is>
          <t>Bảo mật dữ liệu</t>
        </is>
      </c>
      <c r="C25" s="2" t="inlineStr">
        <is>
          <t>TG003</t>
        </is>
      </c>
      <c r="D25" s="2">
        <f>IFERROR(VLOOKUP(TRIM(C25),'DanhMucTacGia'!$A$2:$E$81,2,FALSE),"Chưa cập nhật")</f>
        <v/>
      </c>
      <c r="E25" s="2">
        <f>IFERROR(VLOOKUP(TRIM(C25),'DanhMucTacGia'!$A$2:$E$81,4,FALSE),"Chưa cập nhật")</f>
        <v/>
      </c>
      <c r="F25" s="3">
        <f>IFERROR(VLOOKUP(TRIM(C25),'DanhMucTacGia'!$A$2:$E$81,5,FALSE),"Chưa cập nhật")</f>
        <v/>
      </c>
    </row>
    <row r="26">
      <c r="A26" s="2" t="inlineStr">
        <is>
          <t>BC025</t>
        </is>
      </c>
      <c r="B26" s="2" t="inlineStr">
        <is>
          <t>Ứng dụng công nghệ thông tin</t>
        </is>
      </c>
      <c r="C26" s="2" t="inlineStr">
        <is>
          <t xml:space="preserve">TG001 </t>
        </is>
      </c>
      <c r="D26" s="2">
        <f>IFERROR(VLOOKUP(TRIM(C26),'DanhMucTacGia'!$A$2:$E$81,2,FALSE),"Chưa cập nhật")</f>
        <v/>
      </c>
      <c r="E26" s="2">
        <f>IFERROR(VLOOKUP(TRIM(C26),'DanhMucTacGia'!$A$2:$E$81,4,FALSE),"Chưa cập nhật")</f>
        <v/>
      </c>
      <c r="F26" s="3">
        <f>IFERROR(VLOOKUP(TRIM(C26),'DanhMucTacGia'!$A$2:$E$81,5,FALSE),"Chưa cập nhật")</f>
        <v/>
      </c>
    </row>
    <row r="27">
      <c r="A27" s="2" t="inlineStr">
        <is>
          <t>BC026</t>
        </is>
      </c>
      <c r="B27" s="2" t="inlineStr">
        <is>
          <t>An toàn thông tin mạng</t>
        </is>
      </c>
      <c r="C27" s="2" t="inlineStr">
        <is>
          <t>TG002</t>
        </is>
      </c>
      <c r="D27" s="2">
        <f>IFERROR(VLOOKUP(TRIM(C27),'DanhMucTacGia'!$A$2:$E$81,2,FALSE),"Chưa cập nhật")</f>
        <v/>
      </c>
      <c r="E27" s="2">
        <f>IFERROR(VLOOKUP(TRIM(C27),'DanhMucTacGia'!$A$2:$E$81,4,FALSE),"Chưa cập nhật")</f>
        <v/>
      </c>
      <c r="F27" s="3">
        <f>IFERROR(VLOOKUP(TRIM(C27),'DanhMucTacGia'!$A$2:$E$81,5,FALSE),"Chưa cập nhật")</f>
        <v/>
      </c>
    </row>
    <row r="28">
      <c r="A28" s="2" t="inlineStr">
        <is>
          <t>BC027</t>
        </is>
      </c>
      <c r="B28" s="2" t="inlineStr">
        <is>
          <t>Chuyển đổi số</t>
        </is>
      </c>
      <c r="C28" s="2" t="inlineStr">
        <is>
          <t>TG003</t>
        </is>
      </c>
      <c r="D28" s="2">
        <f>IFERROR(VLOOKUP(TRIM(C28),'DanhMucTacGia'!$A$2:$E$81,2,FALSE),"Chưa cập nhật")</f>
        <v/>
      </c>
      <c r="E28" s="2">
        <f>IFERROR(VLOOKUP(TRIM(C28),'DanhMucTacGia'!$A$2:$E$81,4,FALSE),"Chưa cập nhật")</f>
        <v/>
      </c>
      <c r="F28" s="3">
        <f>IFERROR(VLOOKUP(TRIM(C28),'DanhMucTacGia'!$A$2:$E$81,5,FALSE),"Chưa cập nhật")</f>
        <v/>
      </c>
    </row>
    <row r="29">
      <c r="A29" s="2" t="inlineStr">
        <is>
          <t>BC028</t>
        </is>
      </c>
      <c r="B29" s="2" t="inlineStr">
        <is>
          <t>Trí tuệ nhân tạo</t>
        </is>
      </c>
      <c r="C29" s="2" t="inlineStr">
        <is>
          <t>TG001</t>
        </is>
      </c>
      <c r="D29" s="2">
        <f>IFERROR(VLOOKUP(TRIM(C29),'DanhMucTacGia'!$A$2:$E$81,2,FALSE),"Chưa cập nhật")</f>
        <v/>
      </c>
      <c r="E29" s="2">
        <f>IFERROR(VLOOKUP(TRIM(C29),'DanhMucTacGia'!$A$2:$E$81,4,FALSE),"Chưa cập nhật")</f>
        <v/>
      </c>
      <c r="F29" s="3">
        <f>IFERROR(VLOOKUP(TRIM(C29),'DanhMucTacGia'!$A$2:$E$81,5,FALSE),"Chưa cập nhật")</f>
        <v/>
      </c>
    </row>
    <row r="30">
      <c r="A30" s="2" t="inlineStr">
        <is>
          <t>BC029</t>
        </is>
      </c>
      <c r="B30" s="2" t="inlineStr">
        <is>
          <t>Phân tích dữ liệu</t>
        </is>
      </c>
      <c r="C30" s="2" t="inlineStr">
        <is>
          <t>TG002</t>
        </is>
      </c>
      <c r="D30" s="2">
        <f>IFERROR(VLOOKUP(TRIM(C30),'DanhMucTacGia'!$A$2:$E$81,2,FALSE),"Chưa cập nhật")</f>
        <v/>
      </c>
      <c r="E30" s="2">
        <f>IFERROR(VLOOKUP(TRIM(C30),'DanhMucTacGia'!$A$2:$E$81,4,FALSE),"Chưa cập nhật")</f>
        <v/>
      </c>
      <c r="F30" s="3">
        <f>IFERROR(VLOOKUP(TRIM(C30),'DanhMucTacGia'!$A$2:$E$81,5,FALSE),"Chưa cập nhật")</f>
        <v/>
      </c>
    </row>
    <row r="31">
      <c r="A31" s="2" t="inlineStr">
        <is>
          <t>BC030</t>
        </is>
      </c>
      <c r="B31" s="2" t="inlineStr">
        <is>
          <t>Điện toán đám mây</t>
        </is>
      </c>
      <c r="C31" s="2" t="inlineStr">
        <is>
          <t>TG003</t>
        </is>
      </c>
      <c r="D31" s="2">
        <f>IFERROR(VLOOKUP(TRIM(C31),'DanhMucTacGia'!$A$2:$E$81,2,FALSE),"Chưa cập nhật")</f>
        <v/>
      </c>
      <c r="E31" s="2">
        <f>IFERROR(VLOOKUP(TRIM(C31),'DanhMucTacGia'!$A$2:$E$81,4,FALSE),"Chưa cập nhật")</f>
        <v/>
      </c>
      <c r="F31" s="3">
        <f>IFERROR(VLOOKUP(TRIM(C31),'DanhMucTacGia'!$A$2:$E$81,5,FALSE),"Chưa cập nhật")</f>
        <v/>
      </c>
    </row>
    <row r="32">
      <c r="A32" s="2" t="inlineStr">
        <is>
          <t>BC031</t>
        </is>
      </c>
      <c r="B32" s="2" t="inlineStr">
        <is>
          <t>Phát triển phần mềm</t>
        </is>
      </c>
      <c r="C32" s="2" t="inlineStr">
        <is>
          <t>TG001</t>
        </is>
      </c>
      <c r="D32" s="2">
        <f>IFERROR(VLOOKUP(TRIM(C32),'DanhMucTacGia'!$A$2:$E$81,2,FALSE),"Chưa cập nhật")</f>
        <v/>
      </c>
      <c r="E32" s="2">
        <f>IFERROR(VLOOKUP(TRIM(C32),'DanhMucTacGia'!$A$2:$E$81,4,FALSE),"Chưa cập nhật")</f>
        <v/>
      </c>
      <c r="F32" s="3">
        <f>IFERROR(VLOOKUP(TRIM(C32),'DanhMucTacGia'!$A$2:$E$81,5,FALSE),"Chưa cập nhật")</f>
        <v/>
      </c>
    </row>
    <row r="33">
      <c r="A33" s="2" t="inlineStr">
        <is>
          <t>BC032</t>
        </is>
      </c>
      <c r="B33" s="2" t="inlineStr">
        <is>
          <t>Internet vạn vật</t>
        </is>
      </c>
      <c r="C33" s="2" t="inlineStr">
        <is>
          <t>TG002</t>
        </is>
      </c>
      <c r="D33" s="2">
        <f>IFERROR(VLOOKUP(TRIM(C33),'DanhMucTacGia'!$A$2:$E$81,2,FALSE),"Chưa cập nhật")</f>
        <v/>
      </c>
      <c r="E33" s="2">
        <f>IFERROR(VLOOKUP(TRIM(C33),'DanhMucTacGia'!$A$2:$E$81,4,FALSE),"Chưa cập nhật")</f>
        <v/>
      </c>
      <c r="F33" s="3">
        <f>IFERROR(VLOOKUP(TRIM(C33),'DanhMucTacGia'!$A$2:$E$81,5,FALSE),"Chưa cập nhật")</f>
        <v/>
      </c>
    </row>
    <row r="34">
      <c r="A34" s="2" t="inlineStr">
        <is>
          <t>BC033</t>
        </is>
      </c>
      <c r="B34" s="2" t="inlineStr">
        <is>
          <t>Hệ thống thông tin</t>
        </is>
      </c>
      <c r="C34" s="2" t="inlineStr">
        <is>
          <t>TG003</t>
        </is>
      </c>
      <c r="D34" s="2">
        <f>IFERROR(VLOOKUP(TRIM(C34),'DanhMucTacGia'!$A$2:$E$81,2,FALSE),"Chưa cập nhật")</f>
        <v/>
      </c>
      <c r="E34" s="2">
        <f>IFERROR(VLOOKUP(TRIM(C34),'DanhMucTacGia'!$A$2:$E$81,4,FALSE),"Chưa cập nhật")</f>
        <v/>
      </c>
      <c r="F34" s="3">
        <f>IFERROR(VLOOKUP(TRIM(C34),'DanhMucTacGia'!$A$2:$E$81,5,FALSE),"Chưa cập nhật")</f>
        <v/>
      </c>
    </row>
    <row r="35">
      <c r="A35" s="2" t="inlineStr">
        <is>
          <t>BC034</t>
        </is>
      </c>
      <c r="B35" s="2" t="inlineStr">
        <is>
          <t>Cơ sở dữ liệu</t>
        </is>
      </c>
      <c r="C35" s="2" t="inlineStr">
        <is>
          <t>TG001</t>
        </is>
      </c>
      <c r="D35" s="2">
        <f>IFERROR(VLOOKUP(TRIM(C35),'DanhMucTacGia'!$A$2:$E$81,2,FALSE),"Chưa cập nhật")</f>
        <v/>
      </c>
      <c r="E35" s="2">
        <f>IFERROR(VLOOKUP(TRIM(C35),'DanhMucTacGia'!$A$2:$E$81,4,FALSE),"Chưa cập nhật")</f>
        <v/>
      </c>
      <c r="F35" s="3">
        <f>IFERROR(VLOOKUP(TRIM(C35),'DanhMucTacGia'!$A$2:$E$81,5,FALSE),"Chưa cập nhật")</f>
        <v/>
      </c>
    </row>
    <row r="36">
      <c r="A36" s="2" t="inlineStr">
        <is>
          <t>BC035</t>
        </is>
      </c>
      <c r="B36" s="2" t="inlineStr">
        <is>
          <t>Ứng dụng AI trong giáo dục</t>
        </is>
      </c>
      <c r="C36" s="2" t="inlineStr">
        <is>
          <t>TG002</t>
        </is>
      </c>
      <c r="D36" s="2">
        <f>IFERROR(VLOOKUP(TRIM(C36),'DanhMucTacGia'!$A$2:$E$81,2,FALSE),"Chưa cập nhật")</f>
        <v/>
      </c>
      <c r="E36" s="2">
        <f>IFERROR(VLOOKUP(TRIM(C36),'DanhMucTacGia'!$A$2:$E$81,4,FALSE),"Chưa cập nhật")</f>
        <v/>
      </c>
      <c r="F36" s="3">
        <f>IFERROR(VLOOKUP(TRIM(C36),'DanhMucTacGia'!$A$2:$E$81,5,FALSE),"Chưa cập nhật")</f>
        <v/>
      </c>
    </row>
    <row r="37">
      <c r="A37" s="2" t="inlineStr">
        <is>
          <t>BC036</t>
        </is>
      </c>
      <c r="B37" s="2" t="inlineStr">
        <is>
          <t>Bảo mật dữ liệu</t>
        </is>
      </c>
      <c r="C37" s="2" t="inlineStr">
        <is>
          <t>TG003</t>
        </is>
      </c>
      <c r="D37" s="2">
        <f>IFERROR(VLOOKUP(TRIM(C37),'DanhMucTacGia'!$A$2:$E$81,2,FALSE),"Chưa cập nhật")</f>
        <v/>
      </c>
      <c r="E37" s="2">
        <f>IFERROR(VLOOKUP(TRIM(C37),'DanhMucTacGia'!$A$2:$E$81,4,FALSE),"Chưa cập nhật")</f>
        <v/>
      </c>
      <c r="F37" s="3">
        <f>IFERROR(VLOOKUP(TRIM(C37),'DanhMucTacGia'!$A$2:$E$81,5,FALSE),"Chưa cập nhật")</f>
        <v/>
      </c>
    </row>
    <row r="38">
      <c r="A38" s="2" t="inlineStr">
        <is>
          <t>BC037</t>
        </is>
      </c>
      <c r="B38" s="2" t="inlineStr">
        <is>
          <t>Ứng dụng công nghệ thông tin</t>
        </is>
      </c>
      <c r="C38" s="2" t="inlineStr">
        <is>
          <t>TG001</t>
        </is>
      </c>
      <c r="D38" s="2">
        <f>IFERROR(VLOOKUP(TRIM(C38),'DanhMucTacGia'!$A$2:$E$81,2,FALSE),"Chưa cập nhật")</f>
        <v/>
      </c>
      <c r="E38" s="2">
        <f>IFERROR(VLOOKUP(TRIM(C38),'DanhMucTacGia'!$A$2:$E$81,4,FALSE),"Chưa cập nhật")</f>
        <v/>
      </c>
      <c r="F38" s="3">
        <f>IFERROR(VLOOKUP(TRIM(C38),'DanhMucTacGia'!$A$2:$E$81,5,FALSE),"Chưa cập nhật")</f>
        <v/>
      </c>
    </row>
    <row r="39">
      <c r="A39" s="2" t="inlineStr">
        <is>
          <t>BC038</t>
        </is>
      </c>
      <c r="B39" s="2" t="inlineStr">
        <is>
          <t>An toàn thông tin mạng</t>
        </is>
      </c>
      <c r="C39" s="2" t="inlineStr">
        <is>
          <t>TG002</t>
        </is>
      </c>
      <c r="D39" s="2">
        <f>IFERROR(VLOOKUP(TRIM(C39),'DanhMucTacGia'!$A$2:$E$81,2,FALSE),"Chưa cập nhật")</f>
        <v/>
      </c>
      <c r="E39" s="2">
        <f>IFERROR(VLOOKUP(TRIM(C39),'DanhMucTacGia'!$A$2:$E$81,4,FALSE),"Chưa cập nhật")</f>
        <v/>
      </c>
      <c r="F39" s="3">
        <f>IFERROR(VLOOKUP(TRIM(C39),'DanhMucTacGia'!$A$2:$E$81,5,FALSE),"Chưa cập nhật")</f>
        <v/>
      </c>
    </row>
    <row r="40">
      <c r="A40" s="2" t="inlineStr">
        <is>
          <t>BC039</t>
        </is>
      </c>
      <c r="B40" s="2" t="inlineStr">
        <is>
          <t>Chuyển đổi số</t>
        </is>
      </c>
      <c r="C40" s="2" t="inlineStr">
        <is>
          <t>TG003</t>
        </is>
      </c>
      <c r="D40" s="2">
        <f>IFERROR(VLOOKUP(TRIM(C40),'DanhMucTacGia'!$A$2:$E$81,2,FALSE),"Chưa cập nhật")</f>
        <v/>
      </c>
      <c r="E40" s="2">
        <f>IFERROR(VLOOKUP(TRIM(C40),'DanhMucTacGia'!$A$2:$E$81,4,FALSE),"Chưa cập nhật")</f>
        <v/>
      </c>
      <c r="F40" s="3">
        <f>IFERROR(VLOOKUP(TRIM(C40),'DanhMucTacGia'!$A$2:$E$81,5,FALSE),"Chưa cập nhật")</f>
        <v/>
      </c>
    </row>
    <row r="41">
      <c r="A41" s="2" t="inlineStr">
        <is>
          <t>BC040</t>
        </is>
      </c>
      <c r="B41" s="2" t="inlineStr">
        <is>
          <t>Trí tuệ nhân tạo</t>
        </is>
      </c>
      <c r="C41" s="2" t="inlineStr">
        <is>
          <t>TG001</t>
        </is>
      </c>
      <c r="D41" s="2">
        <f>IFERROR(VLOOKUP(TRIM(C41),'DanhMucTacGia'!$A$2:$E$81,2,FALSE),"Chưa cập nhật")</f>
        <v/>
      </c>
      <c r="E41" s="2">
        <f>IFERROR(VLOOKUP(TRIM(C41),'DanhMucTacGia'!$A$2:$E$81,4,FALSE),"Chưa cập nhật")</f>
        <v/>
      </c>
      <c r="F41" s="3">
        <f>IFERROR(VLOOKUP(TRIM(C41),'DanhMucTacGia'!$A$2:$E$81,5,FALSE),"Chưa cập nhật")</f>
        <v/>
      </c>
    </row>
    <row r="42">
      <c r="A42" s="2" t="inlineStr">
        <is>
          <t>BC041</t>
        </is>
      </c>
      <c r="B42" s="2" t="inlineStr">
        <is>
          <t>Phân tích dữ liệu</t>
        </is>
      </c>
      <c r="C42" s="2" t="inlineStr">
        <is>
          <t>TG002</t>
        </is>
      </c>
      <c r="D42" s="2">
        <f>IFERROR(VLOOKUP(TRIM(C42),'DanhMucTacGia'!$A$2:$E$81,2,FALSE),"Chưa cập nhật")</f>
        <v/>
      </c>
      <c r="E42" s="2">
        <f>IFERROR(VLOOKUP(TRIM(C42),'DanhMucTacGia'!$A$2:$E$81,4,FALSE),"Chưa cập nhật")</f>
        <v/>
      </c>
      <c r="F42" s="3">
        <f>IFERROR(VLOOKUP(TRIM(C42),'DanhMucTacGia'!$A$2:$E$81,5,FALSE),"Chưa cập nhật")</f>
        <v/>
      </c>
    </row>
    <row r="43">
      <c r="A43" s="2" t="inlineStr">
        <is>
          <t>BC042</t>
        </is>
      </c>
      <c r="B43" s="2" t="inlineStr">
        <is>
          <t>Điện toán đám mây</t>
        </is>
      </c>
      <c r="C43" s="2" t="inlineStr">
        <is>
          <t>TG003</t>
        </is>
      </c>
      <c r="D43" s="2">
        <f>IFERROR(VLOOKUP(TRIM(C43),'DanhMucTacGia'!$A$2:$E$81,2,FALSE),"Chưa cập nhật")</f>
        <v/>
      </c>
      <c r="E43" s="2">
        <f>IFERROR(VLOOKUP(TRIM(C43),'DanhMucTacGia'!$A$2:$E$81,4,FALSE),"Chưa cập nhật")</f>
        <v/>
      </c>
      <c r="F43" s="3">
        <f>IFERROR(VLOOKUP(TRIM(C43),'DanhMucTacGia'!$A$2:$E$81,5,FALSE),"Chưa cập nhật")</f>
        <v/>
      </c>
    </row>
    <row r="44">
      <c r="A44" s="2" t="inlineStr">
        <is>
          <t>BC043</t>
        </is>
      </c>
      <c r="B44" s="2" t="inlineStr">
        <is>
          <t>Phát triển phần mềm</t>
        </is>
      </c>
      <c r="C44" s="2" t="inlineStr">
        <is>
          <t>TG001</t>
        </is>
      </c>
      <c r="D44" s="2">
        <f>IFERROR(VLOOKUP(TRIM(C44),'DanhMucTacGia'!$A$2:$E$81,2,FALSE),"Chưa cập nhật")</f>
        <v/>
      </c>
      <c r="E44" s="2">
        <f>IFERROR(VLOOKUP(TRIM(C44),'DanhMucTacGia'!$A$2:$E$81,4,FALSE),"Chưa cập nhật")</f>
        <v/>
      </c>
      <c r="F44" s="3">
        <f>IFERROR(VLOOKUP(TRIM(C44),'DanhMucTacGia'!$A$2:$E$81,5,FALSE),"Chưa cập nhật")</f>
        <v/>
      </c>
    </row>
    <row r="45">
      <c r="A45" s="2" t="inlineStr">
        <is>
          <t>BC044</t>
        </is>
      </c>
      <c r="B45" s="2" t="inlineStr">
        <is>
          <t>Internet vạn vật</t>
        </is>
      </c>
      <c r="C45" s="2" t="inlineStr">
        <is>
          <t>TG002</t>
        </is>
      </c>
      <c r="D45" s="2">
        <f>IFERROR(VLOOKUP(TRIM(C45),'DanhMucTacGia'!$A$2:$E$81,2,FALSE),"Chưa cập nhật")</f>
        <v/>
      </c>
      <c r="E45" s="2">
        <f>IFERROR(VLOOKUP(TRIM(C45),'DanhMucTacGia'!$A$2:$E$81,4,FALSE),"Chưa cập nhật")</f>
        <v/>
      </c>
      <c r="F45" s="3">
        <f>IFERROR(VLOOKUP(TRIM(C45),'DanhMucTacGia'!$A$2:$E$81,5,FALSE),"Chưa cập nhật")</f>
        <v/>
      </c>
    </row>
    <row r="46">
      <c r="A46" s="2" t="inlineStr">
        <is>
          <t>BC045</t>
        </is>
      </c>
      <c r="B46" s="2" t="inlineStr">
        <is>
          <t>Hệ thống thông tin</t>
        </is>
      </c>
      <c r="C46" s="2" t="inlineStr">
        <is>
          <t>TG003</t>
        </is>
      </c>
      <c r="D46" s="2">
        <f>IFERROR(VLOOKUP(TRIM(C46),'DanhMucTacGia'!$A$2:$E$81,2,FALSE),"Chưa cập nhật")</f>
        <v/>
      </c>
      <c r="E46" s="2">
        <f>IFERROR(VLOOKUP(TRIM(C46),'DanhMucTacGia'!$A$2:$E$81,4,FALSE),"Chưa cập nhật")</f>
        <v/>
      </c>
      <c r="F46" s="3">
        <f>IFERROR(VLOOKUP(TRIM(C46),'DanhMucTacGia'!$A$2:$E$81,5,FALSE),"Chưa cập nhật")</f>
        <v/>
      </c>
    </row>
    <row r="47">
      <c r="A47" s="2" t="inlineStr">
        <is>
          <t>BC046</t>
        </is>
      </c>
      <c r="B47" s="2" t="inlineStr">
        <is>
          <t>Cơ sở dữ liệu</t>
        </is>
      </c>
      <c r="C47" s="2" t="inlineStr">
        <is>
          <t>TG001</t>
        </is>
      </c>
      <c r="D47" s="2">
        <f>IFERROR(VLOOKUP(TRIM(C47),'DanhMucTacGia'!$A$2:$E$81,2,FALSE),"Chưa cập nhật")</f>
        <v/>
      </c>
      <c r="E47" s="2">
        <f>IFERROR(VLOOKUP(TRIM(C47),'DanhMucTacGia'!$A$2:$E$81,4,FALSE),"Chưa cập nhật")</f>
        <v/>
      </c>
      <c r="F47" s="3">
        <f>IFERROR(VLOOKUP(TRIM(C47),'DanhMucTacGia'!$A$2:$E$81,5,FALSE),"Chưa cập nhật")</f>
        <v/>
      </c>
    </row>
    <row r="48">
      <c r="A48" s="2" t="inlineStr">
        <is>
          <t>BC047</t>
        </is>
      </c>
      <c r="B48" s="2" t="inlineStr">
        <is>
          <t>Ứng dụng AI trong giáo dục</t>
        </is>
      </c>
      <c r="C48" s="2" t="inlineStr">
        <is>
          <t>TG102</t>
        </is>
      </c>
      <c r="D48" s="2">
        <f>IFERROR(VLOOKUP(TRIM(C48),'DanhMucTacGia'!$A$2:$E$81,2,FALSE),"Chưa cập nhật")</f>
        <v/>
      </c>
      <c r="E48" s="2">
        <f>IFERROR(VLOOKUP(TRIM(C48),'DanhMucTacGia'!$A$2:$E$81,4,FALSE),"Chưa cập nhật")</f>
        <v/>
      </c>
      <c r="F48" s="3">
        <f>IFERROR(VLOOKUP(TRIM(C48),'DanhMucTacGia'!$A$2:$E$81,5,FALSE),"Chưa cập nhật")</f>
        <v/>
      </c>
    </row>
    <row r="49">
      <c r="A49" s="2" t="inlineStr">
        <is>
          <t>BC048</t>
        </is>
      </c>
      <c r="B49" s="2" t="inlineStr">
        <is>
          <t>Bảo mật dữ liệu</t>
        </is>
      </c>
      <c r="C49" s="2" t="inlineStr">
        <is>
          <t>TG003</t>
        </is>
      </c>
      <c r="D49" s="2">
        <f>IFERROR(VLOOKUP(TRIM(C49),'DanhMucTacGia'!$A$2:$E$81,2,FALSE),"Chưa cập nhật")</f>
        <v/>
      </c>
      <c r="E49" s="2">
        <f>IFERROR(VLOOKUP(TRIM(C49),'DanhMucTacGia'!$A$2:$E$81,4,FALSE),"Chưa cập nhật")</f>
        <v/>
      </c>
      <c r="F49" s="3">
        <f>IFERROR(VLOOKUP(TRIM(C49),'DanhMucTacGia'!$A$2:$E$81,5,FALSE),"Chưa cập nhật")</f>
        <v/>
      </c>
    </row>
    <row r="50">
      <c r="A50" s="2" t="inlineStr">
        <is>
          <t>BC049</t>
        </is>
      </c>
      <c r="B50" s="2" t="inlineStr">
        <is>
          <t>Ứng dụng công nghệ thông tin</t>
        </is>
      </c>
      <c r="C50" s="2" t="inlineStr">
        <is>
          <t>TG001</t>
        </is>
      </c>
      <c r="D50" s="2">
        <f>IFERROR(VLOOKUP(TRIM(C50),'DanhMucTacGia'!$A$2:$E$81,2,FALSE),"Chưa cập nhật")</f>
        <v/>
      </c>
      <c r="E50" s="2">
        <f>IFERROR(VLOOKUP(TRIM(C50),'DanhMucTacGia'!$A$2:$E$81,4,FALSE),"Chưa cập nhật")</f>
        <v/>
      </c>
      <c r="F50" s="3">
        <f>IFERROR(VLOOKUP(TRIM(C50),'DanhMucTacGia'!$A$2:$E$81,5,FALSE),"Chưa cập nhật")</f>
        <v/>
      </c>
    </row>
    <row r="51">
      <c r="A51" s="2" t="inlineStr">
        <is>
          <t>BC050</t>
        </is>
      </c>
      <c r="B51" s="2" t="inlineStr">
        <is>
          <t>An toàn thông tin mạng</t>
        </is>
      </c>
      <c r="C51" s="2" t="inlineStr">
        <is>
          <t>TG002</t>
        </is>
      </c>
      <c r="D51" s="2">
        <f>IFERROR(VLOOKUP(TRIM(C51),'DanhMucTacGia'!$A$2:$E$81,2,FALSE),"Chưa cập nhật")</f>
        <v/>
      </c>
      <c r="E51" s="2">
        <f>IFERROR(VLOOKUP(TRIM(C51),'DanhMucTacGia'!$A$2:$E$81,4,FALSE),"Chưa cập nhật")</f>
        <v/>
      </c>
      <c r="F51" s="3">
        <f>IFERROR(VLOOKUP(TRIM(C51),'DanhMucTacGia'!$A$2:$E$81,5,FALSE),"Chưa cập nhật")</f>
        <v/>
      </c>
    </row>
    <row r="52">
      <c r="A52" s="2" t="inlineStr">
        <is>
          <t>BC051</t>
        </is>
      </c>
      <c r="B52" s="2" t="inlineStr">
        <is>
          <t>Chuyển đổi số</t>
        </is>
      </c>
      <c r="C52" s="2" t="inlineStr">
        <is>
          <t>TG003</t>
        </is>
      </c>
      <c r="D52" s="2">
        <f>IFERROR(VLOOKUP(TRIM(C52),'DanhMucTacGia'!$A$2:$E$81,2,FALSE),"Chưa cập nhật")</f>
        <v/>
      </c>
      <c r="E52" s="2">
        <f>IFERROR(VLOOKUP(TRIM(C52),'DanhMucTacGia'!$A$2:$E$81,4,FALSE),"Chưa cập nhật")</f>
        <v/>
      </c>
      <c r="F52" s="3">
        <f>IFERROR(VLOOKUP(TRIM(C52),'DanhMucTacGia'!$A$2:$E$81,5,FALSE),"Chưa cập nhật")</f>
        <v/>
      </c>
    </row>
    <row r="53">
      <c r="A53" s="2" t="inlineStr">
        <is>
          <t>BC052</t>
        </is>
      </c>
      <c r="B53" s="2" t="inlineStr">
        <is>
          <t>Trí tuệ nhân tạo</t>
        </is>
      </c>
      <c r="C53" s="2" t="inlineStr">
        <is>
          <t>TG001</t>
        </is>
      </c>
      <c r="D53" s="2">
        <f>IFERROR(VLOOKUP(TRIM(C53),'DanhMucTacGia'!$A$2:$E$81,2,FALSE),"Chưa cập nhật")</f>
        <v/>
      </c>
      <c r="E53" s="2">
        <f>IFERROR(VLOOKUP(TRIM(C53),'DanhMucTacGia'!$A$2:$E$81,4,FALSE),"Chưa cập nhật")</f>
        <v/>
      </c>
      <c r="F53" s="3">
        <f>IFERROR(VLOOKUP(TRIM(C53),'DanhMucTacGia'!$A$2:$E$81,5,FALSE),"Chưa cập nhật")</f>
        <v/>
      </c>
    </row>
    <row r="54">
      <c r="A54" s="2" t="inlineStr">
        <is>
          <t>BC053</t>
        </is>
      </c>
      <c r="B54" s="2" t="inlineStr">
        <is>
          <t>Phân tích dữ liệu</t>
        </is>
      </c>
      <c r="C54" s="2" t="inlineStr">
        <is>
          <t>TG002</t>
        </is>
      </c>
      <c r="D54" s="2">
        <f>IFERROR(VLOOKUP(TRIM(C54),'DanhMucTacGia'!$A$2:$E$81,2,FALSE),"Chưa cập nhật")</f>
        <v/>
      </c>
      <c r="E54" s="2">
        <f>IFERROR(VLOOKUP(TRIM(C54),'DanhMucTacGia'!$A$2:$E$81,4,FALSE),"Chưa cập nhật")</f>
        <v/>
      </c>
      <c r="F54" s="3">
        <f>IFERROR(VLOOKUP(TRIM(C54),'DanhMucTacGia'!$A$2:$E$81,5,FALSE),"Chưa cập nhật")</f>
        <v/>
      </c>
    </row>
    <row r="55">
      <c r="A55" s="2" t="inlineStr">
        <is>
          <t>BC054</t>
        </is>
      </c>
      <c r="B55" s="2" t="inlineStr">
        <is>
          <t>Điện toán đám mây</t>
        </is>
      </c>
      <c r="C55" s="2" t="inlineStr">
        <is>
          <t>TG003</t>
        </is>
      </c>
      <c r="D55" s="2">
        <f>IFERROR(VLOOKUP(TRIM(C55),'DanhMucTacGia'!$A$2:$E$81,2,FALSE),"Chưa cập nhật")</f>
        <v/>
      </c>
      <c r="E55" s="2">
        <f>IFERROR(VLOOKUP(TRIM(C55),'DanhMucTacGia'!$A$2:$E$81,4,FALSE),"Chưa cập nhật")</f>
        <v/>
      </c>
      <c r="F55" s="3">
        <f>IFERROR(VLOOKUP(TRIM(C55),'DanhMucTacGia'!$A$2:$E$81,5,FALSE),"Chưa cập nhật")</f>
        <v/>
      </c>
    </row>
    <row r="56">
      <c r="A56" s="2" t="inlineStr">
        <is>
          <t>BC055</t>
        </is>
      </c>
      <c r="B56" s="2" t="inlineStr">
        <is>
          <t>Phát triển phần mềm</t>
        </is>
      </c>
      <c r="C56" s="2" t="inlineStr">
        <is>
          <t>TG001</t>
        </is>
      </c>
      <c r="D56" s="2">
        <f>IFERROR(VLOOKUP(TRIM(C56),'DanhMucTacGia'!$A$2:$E$81,2,FALSE),"Chưa cập nhật")</f>
        <v/>
      </c>
      <c r="E56" s="2">
        <f>IFERROR(VLOOKUP(TRIM(C56),'DanhMucTacGia'!$A$2:$E$81,4,FALSE),"Chưa cập nhật")</f>
        <v/>
      </c>
      <c r="F56" s="3">
        <f>IFERROR(VLOOKUP(TRIM(C56),'DanhMucTacGia'!$A$2:$E$81,5,FALSE),"Chưa cập nhật")</f>
        <v/>
      </c>
    </row>
    <row r="57">
      <c r="A57" s="2" t="inlineStr">
        <is>
          <t>BC056</t>
        </is>
      </c>
      <c r="B57" s="2" t="inlineStr">
        <is>
          <t>Internet vạn vật</t>
        </is>
      </c>
      <c r="C57" s="2" t="inlineStr">
        <is>
          <t xml:space="preserve">TG002 </t>
        </is>
      </c>
      <c r="D57" s="2">
        <f>IFERROR(VLOOKUP(TRIM(C57),'DanhMucTacGia'!$A$2:$E$81,2,FALSE),"Chưa cập nhật")</f>
        <v/>
      </c>
      <c r="E57" s="2">
        <f>IFERROR(VLOOKUP(TRIM(C57),'DanhMucTacGia'!$A$2:$E$81,4,FALSE),"Chưa cập nhật")</f>
        <v/>
      </c>
      <c r="F57" s="3">
        <f>IFERROR(VLOOKUP(TRIM(C57),'DanhMucTacGia'!$A$2:$E$81,5,FALSE),"Chưa cập nhật")</f>
        <v/>
      </c>
    </row>
    <row r="58">
      <c r="A58" s="2" t="inlineStr">
        <is>
          <t>BC057</t>
        </is>
      </c>
      <c r="B58" s="2" t="inlineStr">
        <is>
          <t>Hệ thống thông tin</t>
        </is>
      </c>
      <c r="C58" s="2" t="inlineStr">
        <is>
          <t>TG003</t>
        </is>
      </c>
      <c r="D58" s="2">
        <f>IFERROR(VLOOKUP(TRIM(C58),'DanhMucTacGia'!$A$2:$E$81,2,FALSE),"Chưa cập nhật")</f>
        <v/>
      </c>
      <c r="E58" s="2">
        <f>IFERROR(VLOOKUP(TRIM(C58),'DanhMucTacGia'!$A$2:$E$81,4,FALSE),"Chưa cập nhật")</f>
        <v/>
      </c>
      <c r="F58" s="3">
        <f>IFERROR(VLOOKUP(TRIM(C58),'DanhMucTacGia'!$A$2:$E$81,5,FALSE),"Chưa cập nhật")</f>
        <v/>
      </c>
    </row>
    <row r="59">
      <c r="A59" s="2" t="inlineStr">
        <is>
          <t>BC058</t>
        </is>
      </c>
      <c r="B59" s="2" t="inlineStr">
        <is>
          <t>Cơ sở dữ liệu</t>
        </is>
      </c>
      <c r="C59" s="2" t="inlineStr">
        <is>
          <t>TG001</t>
        </is>
      </c>
      <c r="D59" s="2">
        <f>IFERROR(VLOOKUP(TRIM(C59),'DanhMucTacGia'!$A$2:$E$81,2,FALSE),"Chưa cập nhật")</f>
        <v/>
      </c>
      <c r="E59" s="2">
        <f>IFERROR(VLOOKUP(TRIM(C59),'DanhMucTacGia'!$A$2:$E$81,4,FALSE),"Chưa cập nhật")</f>
        <v/>
      </c>
      <c r="F59" s="3">
        <f>IFERROR(VLOOKUP(TRIM(C59),'DanhMucTacGia'!$A$2:$E$81,5,FALSE),"Chưa cập nhật")</f>
        <v/>
      </c>
    </row>
    <row r="60">
      <c r="A60" s="2" t="inlineStr">
        <is>
          <t>BC059</t>
        </is>
      </c>
      <c r="B60" s="2" t="inlineStr">
        <is>
          <t>Ứng dụng AI trong giáo dục</t>
        </is>
      </c>
      <c r="C60" s="2" t="inlineStr">
        <is>
          <t>TG002</t>
        </is>
      </c>
      <c r="D60" s="2">
        <f>IFERROR(VLOOKUP(TRIM(C60),'DanhMucTacGia'!$A$2:$E$81,2,FALSE),"Chưa cập nhật")</f>
        <v/>
      </c>
      <c r="E60" s="2">
        <f>IFERROR(VLOOKUP(TRIM(C60),'DanhMucTacGia'!$A$2:$E$81,4,FALSE),"Chưa cập nhật")</f>
        <v/>
      </c>
      <c r="F60" s="3">
        <f>IFERROR(VLOOKUP(TRIM(C60),'DanhMucTacGia'!$A$2:$E$81,5,FALSE),"Chưa cập nhật")</f>
        <v/>
      </c>
    </row>
    <row r="61">
      <c r="A61" s="2" t="inlineStr">
        <is>
          <t>BC060</t>
        </is>
      </c>
      <c r="B61" s="2" t="inlineStr">
        <is>
          <t>Bảo mật dữ liệu</t>
        </is>
      </c>
      <c r="C61" s="2" t="inlineStr">
        <is>
          <t>TG003</t>
        </is>
      </c>
      <c r="D61" s="2">
        <f>IFERROR(VLOOKUP(TRIM(C61),'DanhMucTacGia'!$A$2:$E$81,2,FALSE),"Chưa cập nhật")</f>
        <v/>
      </c>
      <c r="E61" s="2">
        <f>IFERROR(VLOOKUP(TRIM(C61),'DanhMucTacGia'!$A$2:$E$81,4,FALSE),"Chưa cập nhật")</f>
        <v/>
      </c>
      <c r="F61" s="3">
        <f>IFERROR(VLOOKUP(TRIM(C61),'DanhMucTacGia'!$A$2:$E$81,5,FALSE),"Chưa cập nhật")</f>
        <v/>
      </c>
    </row>
    <row r="62">
      <c r="A62" s="2" t="inlineStr">
        <is>
          <t>BC061</t>
        </is>
      </c>
      <c r="B62" s="2" t="inlineStr">
        <is>
          <t>Ứng dụng công nghệ thông tin</t>
        </is>
      </c>
      <c r="C62" s="2" t="inlineStr">
        <is>
          <t>TG001</t>
        </is>
      </c>
      <c r="D62" s="2">
        <f>IFERROR(VLOOKUP(TRIM(C62),'DanhMucTacGia'!$A$2:$E$81,2,FALSE),"Chưa cập nhật")</f>
        <v/>
      </c>
      <c r="E62" s="2">
        <f>IFERROR(VLOOKUP(TRIM(C62),'DanhMucTacGia'!$A$2:$E$81,4,FALSE),"Chưa cập nhật")</f>
        <v/>
      </c>
      <c r="F62" s="3">
        <f>IFERROR(VLOOKUP(TRIM(C62),'DanhMucTacGia'!$A$2:$E$81,5,FALSE),"Chưa cập nhật")</f>
        <v/>
      </c>
    </row>
    <row r="63">
      <c r="A63" s="2" t="inlineStr">
        <is>
          <t>BC062</t>
        </is>
      </c>
      <c r="B63" s="2" t="inlineStr">
        <is>
          <t>An toàn thông tin mạng</t>
        </is>
      </c>
      <c r="C63" s="2" t="inlineStr">
        <is>
          <t>TG002</t>
        </is>
      </c>
      <c r="D63" s="2">
        <f>IFERROR(VLOOKUP(TRIM(C63),'DanhMucTacGia'!$A$2:$E$81,2,FALSE),"Chưa cập nhật")</f>
        <v/>
      </c>
      <c r="E63" s="2">
        <f>IFERROR(VLOOKUP(TRIM(C63),'DanhMucTacGia'!$A$2:$E$81,4,FALSE),"Chưa cập nhật")</f>
        <v/>
      </c>
      <c r="F63" s="3">
        <f>IFERROR(VLOOKUP(TRIM(C63),'DanhMucTacGia'!$A$2:$E$81,5,FALSE),"Chưa cập nhật")</f>
        <v/>
      </c>
    </row>
    <row r="64">
      <c r="A64" s="2" t="inlineStr">
        <is>
          <t>BC063</t>
        </is>
      </c>
      <c r="B64" s="2" t="inlineStr">
        <is>
          <t>Chuyển đổi số</t>
        </is>
      </c>
      <c r="C64" s="2" t="inlineStr">
        <is>
          <t>TG003</t>
        </is>
      </c>
      <c r="D64" s="2">
        <f>IFERROR(VLOOKUP(TRIM(C64),'DanhMucTacGia'!$A$2:$E$81,2,FALSE),"Chưa cập nhật")</f>
        <v/>
      </c>
      <c r="E64" s="2">
        <f>IFERROR(VLOOKUP(TRIM(C64),'DanhMucTacGia'!$A$2:$E$81,4,FALSE),"Chưa cập nhật")</f>
        <v/>
      </c>
      <c r="F64" s="3">
        <f>IFERROR(VLOOKUP(TRIM(C64),'DanhMucTacGia'!$A$2:$E$81,5,FALSE),"Chưa cập nhật")</f>
        <v/>
      </c>
    </row>
    <row r="65">
      <c r="A65" s="2" t="inlineStr">
        <is>
          <t>BC064</t>
        </is>
      </c>
      <c r="B65" s="2" t="inlineStr">
        <is>
          <t>Trí tuệ nhân tạo</t>
        </is>
      </c>
      <c r="C65" s="2" t="inlineStr">
        <is>
          <t>TG001</t>
        </is>
      </c>
      <c r="D65" s="2">
        <f>IFERROR(VLOOKUP(TRIM(C65),'DanhMucTacGia'!$A$2:$E$81,2,FALSE),"Chưa cập nhật")</f>
        <v/>
      </c>
      <c r="E65" s="2">
        <f>IFERROR(VLOOKUP(TRIM(C65),'DanhMucTacGia'!$A$2:$E$81,4,FALSE),"Chưa cập nhật")</f>
        <v/>
      </c>
      <c r="F65" s="3">
        <f>IFERROR(VLOOKUP(TRIM(C65),'DanhMucTacGia'!$A$2:$E$81,5,FALSE),"Chưa cập nhật")</f>
        <v/>
      </c>
    </row>
    <row r="66">
      <c r="A66" s="2" t="inlineStr">
        <is>
          <t>BC065</t>
        </is>
      </c>
      <c r="B66" s="2" t="inlineStr">
        <is>
          <t>Phân tích dữ liệu</t>
        </is>
      </c>
      <c r="C66" s="2" t="inlineStr">
        <is>
          <t>TG002</t>
        </is>
      </c>
      <c r="D66" s="2">
        <f>IFERROR(VLOOKUP(TRIM(C66),'DanhMucTacGia'!$A$2:$E$81,2,FALSE),"Chưa cập nhật")</f>
        <v/>
      </c>
      <c r="E66" s="2">
        <f>IFERROR(VLOOKUP(TRIM(C66),'DanhMucTacGia'!$A$2:$E$81,4,FALSE),"Chưa cập nhật")</f>
        <v/>
      </c>
      <c r="F66" s="3">
        <f>IFERROR(VLOOKUP(TRIM(C66),'DanhMucTacGia'!$A$2:$E$81,5,FALSE),"Chưa cập nhật")</f>
        <v/>
      </c>
    </row>
    <row r="67">
      <c r="A67" s="2" t="inlineStr">
        <is>
          <t>BC066</t>
        </is>
      </c>
      <c r="B67" s="2" t="inlineStr">
        <is>
          <t>Điện toán đám mây</t>
        </is>
      </c>
      <c r="C67" s="2" t="inlineStr">
        <is>
          <t>TG003</t>
        </is>
      </c>
      <c r="D67" s="2">
        <f>IFERROR(VLOOKUP(TRIM(C67),'DanhMucTacGia'!$A$2:$E$81,2,FALSE),"Chưa cập nhật")</f>
        <v/>
      </c>
      <c r="E67" s="2">
        <f>IFERROR(VLOOKUP(TRIM(C67),'DanhMucTacGia'!$A$2:$E$81,4,FALSE),"Chưa cập nhật")</f>
        <v/>
      </c>
      <c r="F67" s="3">
        <f>IFERROR(VLOOKUP(TRIM(C67),'DanhMucTacGia'!$A$2:$E$81,5,FALSE),"Chưa cập nhật")</f>
        <v/>
      </c>
    </row>
    <row r="68">
      <c r="A68" s="2" t="inlineStr">
        <is>
          <t>BC067</t>
        </is>
      </c>
      <c r="B68" s="2" t="inlineStr">
        <is>
          <t>Phát triển phần mềm</t>
        </is>
      </c>
      <c r="C68" s="2" t="inlineStr">
        <is>
          <t>TG001</t>
        </is>
      </c>
      <c r="D68" s="2">
        <f>IFERROR(VLOOKUP(TRIM(C68),'DanhMucTacGia'!$A$2:$E$81,2,FALSE),"Chưa cập nhật")</f>
        <v/>
      </c>
      <c r="E68" s="2">
        <f>IFERROR(VLOOKUP(TRIM(C68),'DanhMucTacGia'!$A$2:$E$81,4,FALSE),"Chưa cập nhật")</f>
        <v/>
      </c>
      <c r="F68" s="3">
        <f>IFERROR(VLOOKUP(TRIM(C68),'DanhMucTacGia'!$A$2:$E$81,5,FALSE),"Chưa cập nhật")</f>
        <v/>
      </c>
    </row>
    <row r="69">
      <c r="A69" s="2" t="inlineStr">
        <is>
          <t>BC068</t>
        </is>
      </c>
      <c r="B69" s="2" t="inlineStr">
        <is>
          <t>Internet vạn vật</t>
        </is>
      </c>
      <c r="C69" s="2" t="inlineStr">
        <is>
          <t>TG002</t>
        </is>
      </c>
      <c r="D69" s="2">
        <f>IFERROR(VLOOKUP(TRIM(C69),'DanhMucTacGia'!$A$2:$E$81,2,FALSE),"Chưa cập nhật")</f>
        <v/>
      </c>
      <c r="E69" s="2">
        <f>IFERROR(VLOOKUP(TRIM(C69),'DanhMucTacGia'!$A$2:$E$81,4,FALSE),"Chưa cập nhật")</f>
        <v/>
      </c>
      <c r="F69" s="3">
        <f>IFERROR(VLOOKUP(TRIM(C69),'DanhMucTacGia'!$A$2:$E$81,5,FALSE),"Chưa cập nhật")</f>
        <v/>
      </c>
    </row>
    <row r="70">
      <c r="A70" s="2" t="inlineStr">
        <is>
          <t>BC069</t>
        </is>
      </c>
      <c r="B70" s="2" t="inlineStr">
        <is>
          <t>Hệ thống thông tin</t>
        </is>
      </c>
      <c r="C70" s="2" t="inlineStr">
        <is>
          <t>TG003</t>
        </is>
      </c>
      <c r="D70" s="2">
        <f>IFERROR(VLOOKUP(TRIM(C70),'DanhMucTacGia'!$A$2:$E$81,2,FALSE),"Chưa cập nhật")</f>
        <v/>
      </c>
      <c r="E70" s="2">
        <f>IFERROR(VLOOKUP(TRIM(C70),'DanhMucTacGia'!$A$2:$E$81,4,FALSE),"Chưa cập nhật")</f>
        <v/>
      </c>
      <c r="F70" s="3">
        <f>IFERROR(VLOOKUP(TRIM(C70),'DanhMucTacGia'!$A$2:$E$81,5,FALSE),"Chưa cập nhật")</f>
        <v/>
      </c>
    </row>
    <row r="71">
      <c r="A71" s="2" t="inlineStr">
        <is>
          <t>BC070</t>
        </is>
      </c>
      <c r="B71" s="2" t="inlineStr">
        <is>
          <t>Cơ sở dữ liệu</t>
        </is>
      </c>
      <c r="C71" s="2" t="inlineStr">
        <is>
          <t>TG001</t>
        </is>
      </c>
      <c r="D71" s="2">
        <f>IFERROR(VLOOKUP(TRIM(C71),'DanhMucTacGia'!$A$2:$E$81,2,FALSE),"Chưa cập nhật")</f>
        <v/>
      </c>
      <c r="E71" s="2">
        <f>IFERROR(VLOOKUP(TRIM(C71),'DanhMucTacGia'!$A$2:$E$81,4,FALSE),"Chưa cập nhật")</f>
        <v/>
      </c>
      <c r="F71" s="3">
        <f>IFERROR(VLOOKUP(TRIM(C71),'DanhMucTacGia'!$A$2:$E$81,5,FALSE),"Chưa cập nhật")</f>
        <v/>
      </c>
    </row>
    <row r="72">
      <c r="A72" s="2" t="inlineStr">
        <is>
          <t>BC071</t>
        </is>
      </c>
      <c r="B72" s="2" t="inlineStr">
        <is>
          <t>Ứng dụng AI trong giáo dục</t>
        </is>
      </c>
      <c r="C72" s="2" t="inlineStr">
        <is>
          <t>TG002</t>
        </is>
      </c>
      <c r="D72" s="2">
        <f>IFERROR(VLOOKUP(TRIM(C72),'DanhMucTacGia'!$A$2:$E$81,2,FALSE),"Chưa cập nhật")</f>
        <v/>
      </c>
      <c r="E72" s="2">
        <f>IFERROR(VLOOKUP(TRIM(C72),'DanhMucTacGia'!$A$2:$E$81,4,FALSE),"Chưa cập nhật")</f>
        <v/>
      </c>
      <c r="F72" s="3">
        <f>IFERROR(VLOOKUP(TRIM(C72),'DanhMucTacGia'!$A$2:$E$81,5,FALSE),"Chưa cập nhật")</f>
        <v/>
      </c>
    </row>
    <row r="73">
      <c r="A73" s="2" t="inlineStr">
        <is>
          <t>BC072</t>
        </is>
      </c>
      <c r="B73" s="2" t="inlineStr">
        <is>
          <t>Bảo mật dữ liệu</t>
        </is>
      </c>
      <c r="C73" s="2" t="inlineStr">
        <is>
          <t>TG103</t>
        </is>
      </c>
      <c r="D73" s="2">
        <f>IFERROR(VLOOKUP(TRIM(C73),'DanhMucTacGia'!$A$2:$E$81,2,FALSE),"Chưa cập nhật")</f>
        <v/>
      </c>
      <c r="E73" s="2">
        <f>IFERROR(VLOOKUP(TRIM(C73),'DanhMucTacGia'!$A$2:$E$81,4,FALSE),"Chưa cập nhật")</f>
        <v/>
      </c>
      <c r="F73" s="3">
        <f>IFERROR(VLOOKUP(TRIM(C73),'DanhMucTacGia'!$A$2:$E$81,5,FALSE),"Chưa cập nhật")</f>
        <v/>
      </c>
    </row>
    <row r="74">
      <c r="A74" s="2" t="inlineStr">
        <is>
          <t>BC073</t>
        </is>
      </c>
      <c r="B74" s="2" t="inlineStr">
        <is>
          <t>Ứng dụng công nghệ thông tin</t>
        </is>
      </c>
      <c r="C74" s="2" t="inlineStr">
        <is>
          <t>TG001</t>
        </is>
      </c>
      <c r="D74" s="2">
        <f>IFERROR(VLOOKUP(TRIM(C74),'DanhMucTacGia'!$A$2:$E$81,2,FALSE),"Chưa cập nhật")</f>
        <v/>
      </c>
      <c r="E74" s="2">
        <f>IFERROR(VLOOKUP(TRIM(C74),'DanhMucTacGia'!$A$2:$E$81,4,FALSE),"Chưa cập nhật")</f>
        <v/>
      </c>
      <c r="F74" s="3">
        <f>IFERROR(VLOOKUP(TRIM(C74),'DanhMucTacGia'!$A$2:$E$81,5,FALSE),"Chưa cập nhật")</f>
        <v/>
      </c>
    </row>
    <row r="75">
      <c r="A75" s="2" t="inlineStr">
        <is>
          <t>BC074</t>
        </is>
      </c>
      <c r="B75" s="2" t="inlineStr">
        <is>
          <t>An toàn thông tin mạng</t>
        </is>
      </c>
      <c r="C75" s="2" t="inlineStr">
        <is>
          <t>TG002</t>
        </is>
      </c>
      <c r="D75" s="2">
        <f>IFERROR(VLOOKUP(TRIM(C75),'DanhMucTacGia'!$A$2:$E$81,2,FALSE),"Chưa cập nhật")</f>
        <v/>
      </c>
      <c r="E75" s="2">
        <f>IFERROR(VLOOKUP(TRIM(C75),'DanhMucTacGia'!$A$2:$E$81,4,FALSE),"Chưa cập nhật")</f>
        <v/>
      </c>
      <c r="F75" s="3">
        <f>IFERROR(VLOOKUP(TRIM(C75),'DanhMucTacGia'!$A$2:$E$81,5,FALSE),"Chưa cập nhật")</f>
        <v/>
      </c>
    </row>
    <row r="76">
      <c r="A76" s="2" t="inlineStr">
        <is>
          <t>BC075</t>
        </is>
      </c>
      <c r="B76" s="2" t="inlineStr">
        <is>
          <t>Chuyển đổi số</t>
        </is>
      </c>
      <c r="C76" s="2" t="inlineStr">
        <is>
          <t>TG003</t>
        </is>
      </c>
      <c r="D76" s="2">
        <f>IFERROR(VLOOKUP(TRIM(C76),'DanhMucTacGia'!$A$2:$E$81,2,FALSE),"Chưa cập nhật")</f>
        <v/>
      </c>
      <c r="E76" s="2">
        <f>IFERROR(VLOOKUP(TRIM(C76),'DanhMucTacGia'!$A$2:$E$81,4,FALSE),"Chưa cập nhật")</f>
        <v/>
      </c>
      <c r="F76" s="3">
        <f>IFERROR(VLOOKUP(TRIM(C76),'DanhMucTacGia'!$A$2:$E$81,5,FALSE),"Chưa cập nhật")</f>
        <v/>
      </c>
    </row>
    <row r="77">
      <c r="A77" s="2" t="inlineStr">
        <is>
          <t>BC076</t>
        </is>
      </c>
      <c r="B77" s="2" t="inlineStr">
        <is>
          <t>Trí tuệ nhân tạo</t>
        </is>
      </c>
      <c r="C77" s="2" t="inlineStr">
        <is>
          <t>TG001</t>
        </is>
      </c>
      <c r="D77" s="2">
        <f>IFERROR(VLOOKUP(TRIM(C77),'DanhMucTacGia'!$A$2:$E$81,2,FALSE),"Chưa cập nhật")</f>
        <v/>
      </c>
      <c r="E77" s="2">
        <f>IFERROR(VLOOKUP(TRIM(C77),'DanhMucTacGia'!$A$2:$E$81,4,FALSE),"Chưa cập nhật")</f>
        <v/>
      </c>
      <c r="F77" s="3">
        <f>IFERROR(VLOOKUP(TRIM(C77),'DanhMucTacGia'!$A$2:$E$81,5,FALSE),"Chưa cập nhật")</f>
        <v/>
      </c>
    </row>
    <row r="78">
      <c r="A78" s="2" t="inlineStr">
        <is>
          <t>BC077</t>
        </is>
      </c>
      <c r="B78" s="2" t="inlineStr">
        <is>
          <t>Phân tích dữ liệu</t>
        </is>
      </c>
      <c r="C78" s="2" t="inlineStr">
        <is>
          <t>TG002</t>
        </is>
      </c>
      <c r="D78" s="2">
        <f>IFERROR(VLOOKUP(TRIM(C78),'DanhMucTacGia'!$A$2:$E$81,2,FALSE),"Chưa cập nhật")</f>
        <v/>
      </c>
      <c r="E78" s="2">
        <f>IFERROR(VLOOKUP(TRIM(C78),'DanhMucTacGia'!$A$2:$E$81,4,FALSE),"Chưa cập nhật")</f>
        <v/>
      </c>
      <c r="F78" s="3">
        <f>IFERROR(VLOOKUP(TRIM(C78),'DanhMucTacGia'!$A$2:$E$81,5,FALSE),"Chưa cập nhật")</f>
        <v/>
      </c>
    </row>
    <row r="79">
      <c r="A79" s="2" t="inlineStr">
        <is>
          <t>BC078</t>
        </is>
      </c>
      <c r="B79" s="2" t="inlineStr">
        <is>
          <t>Điện toán đám mây</t>
        </is>
      </c>
      <c r="C79" s="2" t="inlineStr">
        <is>
          <t>TG003</t>
        </is>
      </c>
      <c r="D79" s="2">
        <f>IFERROR(VLOOKUP(TRIM(C79),'DanhMucTacGia'!$A$2:$E$81,2,FALSE),"Chưa cập nhật")</f>
        <v/>
      </c>
      <c r="E79" s="2">
        <f>IFERROR(VLOOKUP(TRIM(C79),'DanhMucTacGia'!$A$2:$E$81,4,FALSE),"Chưa cập nhật")</f>
        <v/>
      </c>
      <c r="F79" s="3">
        <f>IFERROR(VLOOKUP(TRIM(C79),'DanhMucTacGia'!$A$2:$E$81,5,FALSE),"Chưa cập nhật")</f>
        <v/>
      </c>
    </row>
    <row r="80">
      <c r="A80" s="2" t="inlineStr">
        <is>
          <t>BC079</t>
        </is>
      </c>
      <c r="B80" s="2" t="inlineStr">
        <is>
          <t>Phát triển phần mềm</t>
        </is>
      </c>
      <c r="C80" s="2" t="inlineStr">
        <is>
          <t>TG001</t>
        </is>
      </c>
      <c r="D80" s="2">
        <f>IFERROR(VLOOKUP(TRIM(C80),'DanhMucTacGia'!$A$2:$E$81,2,FALSE),"Chưa cập nhật")</f>
        <v/>
      </c>
      <c r="E80" s="2">
        <f>IFERROR(VLOOKUP(TRIM(C80),'DanhMucTacGia'!$A$2:$E$81,4,FALSE),"Chưa cập nhật")</f>
        <v/>
      </c>
      <c r="F80" s="3">
        <f>IFERROR(VLOOKUP(TRIM(C80),'DanhMucTacGia'!$A$2:$E$81,5,FALSE),"Chưa cập nhật")</f>
        <v/>
      </c>
    </row>
    <row r="81">
      <c r="A81" s="2" t="inlineStr">
        <is>
          <t>BC080</t>
        </is>
      </c>
      <c r="B81" s="2" t="inlineStr">
        <is>
          <t>Internet vạn vật</t>
        </is>
      </c>
      <c r="C81" s="2" t="inlineStr">
        <is>
          <t>TG002</t>
        </is>
      </c>
      <c r="D81" s="2">
        <f>IFERROR(VLOOKUP(TRIM(C81),'DanhMucTacGia'!$A$2:$E$81,2,FALSE),"Chưa cập nhật")</f>
        <v/>
      </c>
      <c r="E81" s="2">
        <f>IFERROR(VLOOKUP(TRIM(C81),'DanhMucTacGia'!$A$2:$E$81,4,FALSE),"Chưa cập nhật")</f>
        <v/>
      </c>
      <c r="F81" s="3">
        <f>IFERROR(VLOOKUP(TRIM(C81),'DanhMucTacGia'!$A$2:$E$81,5,FALSE),"Chưa cập nhật")</f>
        <v/>
      </c>
    </row>
  </sheetData>
  <autoFilter ref="A1:F81"/>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4" customWidth="1" min="3" max="3"/>
    <col width="14" customWidth="1" min="4" max="4"/>
    <col width="14" customWidth="1" min="5" max="5"/>
  </cols>
  <sheetData>
    <row r="1" ht="30" customHeight="1">
      <c r="A1" s="1" t="inlineStr">
        <is>
          <t>Mã TG</t>
        </is>
      </c>
      <c r="B1" s="1" t="inlineStr">
        <is>
          <t>Tên Tác Giả</t>
        </is>
      </c>
      <c r="C1" s="1" t="inlineStr">
        <is>
          <t>Khoa/Viện</t>
        </is>
      </c>
      <c r="D1" s="1" t="inlineStr">
        <is>
          <t>Phòng</t>
        </is>
      </c>
      <c r="E1" s="1" t="inlineStr">
        <is>
          <t>Thù Lao</t>
        </is>
      </c>
    </row>
    <row r="2">
      <c r="A2" s="2" t="inlineStr">
        <is>
          <t>TG001</t>
        </is>
      </c>
      <c r="B2" s="2" t="inlineStr">
        <is>
          <t>Nguyễn Văn An</t>
        </is>
      </c>
      <c r="C2" s="2" t="inlineStr">
        <is>
          <t>CNTT</t>
        </is>
      </c>
      <c r="D2" s="2" t="inlineStr">
        <is>
          <t>P.201-A</t>
        </is>
      </c>
      <c r="E2" s="3" t="n">
        <v>500000</v>
      </c>
    </row>
    <row r="3">
      <c r="A3" s="2" t="inlineStr">
        <is>
          <t>TG002</t>
        </is>
      </c>
      <c r="B3" s="2" t="inlineStr">
        <is>
          <t>Trần Thị Bình</t>
        </is>
      </c>
      <c r="C3" s="2" t="inlineStr">
        <is>
          <t>Điện Tử</t>
        </is>
      </c>
      <c r="D3" s="2" t="inlineStr">
        <is>
          <t>P.305-B</t>
        </is>
      </c>
      <c r="E3" s="3" t="n">
        <v>450000</v>
      </c>
    </row>
    <row r="4">
      <c r="A4" s="2" t="inlineStr">
        <is>
          <t>TG003</t>
        </is>
      </c>
      <c r="B4" s="2" t="inlineStr">
        <is>
          <t>Lê Minh Châu</t>
        </is>
      </c>
      <c r="C4" s="2" t="inlineStr">
        <is>
          <t>CNTT</t>
        </is>
      </c>
      <c r="D4" s="2" t="inlineStr">
        <is>
          <t>P.201-A</t>
        </is>
      </c>
      <c r="E4" s="3" t="n">
        <v>500000</v>
      </c>
    </row>
  </sheetData>
  <autoFilter ref="A1:E4"/>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39"/>
  <sheetViews>
    <sheetView workbookViewId="0">
      <pane ySplit="3" topLeftCell="A4" activePane="bottomLeft" state="frozen"/>
      <selection pane="bottomLeft" activeCell="A1" sqref="A1"/>
    </sheetView>
  </sheetViews>
  <sheetFormatPr baseColWidth="8" defaultRowHeight="15"/>
  <cols>
    <col width="36" customWidth="1" min="1" max="1"/>
    <col width="58" customWidth="1" min="2" max="2"/>
    <col width="38" customWidth="1" min="3" max="3"/>
    <col width="38" customWidth="1" min="4" max="4"/>
  </cols>
  <sheetData>
    <row r="1" ht="34" customHeight="1">
      <c r="A1" s="4" t="inlineStr">
        <is>
          <t>BÀI LÀM: VLOOKUP KẾT HỢP TRIM VÀ IFERROR</t>
        </is>
      </c>
      <c r="B1" s="5" t="n"/>
      <c r="C1" s="5" t="n"/>
      <c r="D1" s="5" t="n"/>
    </row>
    <row r="2" ht="34" customHeight="1">
      <c r="A2" s="5" t="n"/>
      <c r="B2" s="5" t="n"/>
      <c r="C2" s="5" t="n"/>
      <c r="D2" s="5" t="n"/>
    </row>
    <row r="3" ht="34" customHeight="1">
      <c r="A3" s="6" t="inlineStr">
        <is>
          <t>PHẦN 1: PHÂN TÍCH BÀI TOÁN (I/O)</t>
        </is>
      </c>
      <c r="B3" s="5" t="n"/>
      <c r="C3" s="5" t="n"/>
      <c r="D3" s="5" t="n"/>
    </row>
    <row r="4" ht="34" customHeight="1">
      <c r="A4" s="7" t="inlineStr">
        <is>
          <t>Thành phần</t>
        </is>
      </c>
      <c r="B4" s="5" t="inlineStr">
        <is>
          <t>Cột D - Tên tác giả</t>
        </is>
      </c>
      <c r="C4" s="5" t="inlineStr">
        <is>
          <t>Cột E - Phòng</t>
        </is>
      </c>
      <c r="D4" s="5" t="inlineStr">
        <is>
          <t>Cột F - Thù lao</t>
        </is>
      </c>
    </row>
    <row r="5" ht="34" customHeight="1">
      <c r="A5" s="7" t="inlineStr">
        <is>
          <t>Lookup_value</t>
        </is>
      </c>
      <c r="B5" s="5" t="inlineStr">
        <is>
          <t>C2 (dùng TRIM(C2) trong công thức)</t>
        </is>
      </c>
      <c r="C5" s="5" t="inlineStr">
        <is>
          <t>C2 (dùng TRIM(C2) trong công thức)</t>
        </is>
      </c>
      <c r="D5" s="5" t="inlineStr">
        <is>
          <t>C2 (dùng TRIM(C2) trong công thức)</t>
        </is>
      </c>
    </row>
    <row r="6" ht="34" customHeight="1">
      <c r="A6" s="7" t="inlineStr">
        <is>
          <t>Table_array</t>
        </is>
      </c>
      <c r="B6" s="5" t="inlineStr">
        <is>
          <t>'DanhMucTacGia'!$A$2:$E$81</t>
        </is>
      </c>
      <c r="C6" s="5" t="inlineStr">
        <is>
          <t>'DanhMucTacGia'!$A$2:$E$81</t>
        </is>
      </c>
      <c r="D6" s="5" t="inlineStr">
        <is>
          <t>'DanhMucTacGia'!$A$2:$E$81</t>
        </is>
      </c>
    </row>
    <row r="7" ht="34" customHeight="1">
      <c r="A7" s="7" t="inlineStr">
        <is>
          <t>Col_index_num</t>
        </is>
      </c>
      <c r="B7" s="5" t="inlineStr">
        <is>
          <t>2</t>
        </is>
      </c>
      <c r="C7" s="5" t="inlineStr">
        <is>
          <t>4</t>
        </is>
      </c>
      <c r="D7" s="5" t="inlineStr">
        <is>
          <t>5</t>
        </is>
      </c>
    </row>
    <row r="8" ht="34" customHeight="1">
      <c r="A8" s="7" t="inlineStr">
        <is>
          <t>Range_lookup</t>
        </is>
      </c>
      <c r="B8" s="5" t="inlineStr">
        <is>
          <t>FALSE (tìm chính xác)</t>
        </is>
      </c>
      <c r="C8" s="5" t="inlineStr">
        <is>
          <t>FALSE (tìm chính xác)</t>
        </is>
      </c>
      <c r="D8" s="5" t="inlineStr">
        <is>
          <t>FALSE (tìm chính xác)</t>
        </is>
      </c>
    </row>
    <row r="9" ht="34" customHeight="1">
      <c r="A9" s="5" t="n"/>
      <c r="B9" s="5" t="n"/>
      <c r="C9" s="5" t="n"/>
      <c r="D9" s="5" t="n"/>
    </row>
    <row r="10" ht="34" customHeight="1">
      <c r="A10" s="7" t="inlineStr">
        <is>
          <t>2. Giải pháp xử lý 3 bẫy dữ liệu</t>
        </is>
      </c>
      <c r="B10" s="5" t="n"/>
      <c r="C10" s="5" t="n"/>
      <c r="D10" s="5" t="n"/>
    </row>
    <row r="11" ht="34" customHeight="1">
      <c r="A11" s="7" t="inlineStr">
        <is>
          <t>Bẫy 1: Khoảng trắng</t>
        </is>
      </c>
      <c r="B11" s="5" t="inlineStr">
        <is>
          <t>Dùng TRIM(C2) để loại bỏ khoảng trắng thừa ở đầu và cuối mã tác giả.</t>
        </is>
      </c>
      <c r="C11" s="5" t="n"/>
      <c r="D11" s="5" t="n"/>
    </row>
    <row r="12" ht="34" customHeight="1">
      <c r="A12" s="7" t="inlineStr">
        <is>
          <t>Bẫy 2: Mã không có trong danh mục</t>
        </is>
      </c>
      <c r="B12" s="5" t="inlineStr">
        <is>
          <t>Dùng IFERROR(...,"Chưa cập nhật") để thay lỗi #N/A bằng thông báo dễ hiểu.</t>
        </is>
      </c>
      <c r="C12" s="5" t="n"/>
      <c r="D12" s="5" t="n"/>
    </row>
    <row r="13" ht="34" customHeight="1">
      <c r="A13" s="7" t="inlineStr">
        <is>
          <t>Bẫy 3: Vùng tra cứu bị trôi</t>
        </is>
      </c>
      <c r="B13" s="5" t="inlineStr">
        <is>
          <t>Dùng dấu $ trong $A$2:$E$81 để cố định vùng tra cứu khi kéo công thức.</t>
        </is>
      </c>
      <c r="C13" s="5" t="n"/>
      <c r="D13" s="5" t="n"/>
    </row>
    <row r="14" ht="34" customHeight="1">
      <c r="A14" s="5" t="n"/>
      <c r="B14" s="5" t="n"/>
      <c r="C14" s="5" t="n"/>
      <c r="D14" s="5" t="n"/>
    </row>
    <row r="15" ht="34" customHeight="1">
      <c r="A15" s="7" t="inlineStr">
        <is>
          <t>3. Các bước thực hiện trong Excel</t>
        </is>
      </c>
      <c r="B15" s="5" t="n"/>
      <c r="C15" s="5" t="n"/>
      <c r="D15" s="5" t="n"/>
    </row>
    <row r="16" ht="34" customHeight="1">
      <c r="A16" s="7" t="inlineStr">
        <is>
          <t>Bước 1: Mở file Excel và tạo hai sheet DanhSachBaoCao, DanhMucTacGia.</t>
        </is>
      </c>
      <c r="B16" s="5" t="n"/>
      <c r="C16" s="5" t="n"/>
      <c r="D16" s="5" t="n"/>
    </row>
    <row r="17" ht="34" customHeight="1">
      <c r="A17" s="7" t="inlineStr">
        <is>
          <t>Bước 2: Đặt Mã TG ở cột C của DanhSachBaoCao; danh mục tác giả gồm các cột A đến E.</t>
        </is>
      </c>
      <c r="B17" s="5" t="n"/>
      <c r="C17" s="5" t="n"/>
      <c r="D17" s="5" t="n"/>
    </row>
    <row r="18" ht="34" customHeight="1">
      <c r="A18" s="7" t="inlineStr">
        <is>
          <t>Bước 3: Nhập công thức VLOOKUP kết hợp TRIM và IFERROR vào D2, E2, F2.</t>
        </is>
      </c>
      <c r="B18" s="5" t="n"/>
      <c r="C18" s="5" t="n"/>
      <c r="D18" s="5" t="n"/>
    </row>
    <row r="19" ht="34" customHeight="1">
      <c r="A19" s="7" t="inlineStr">
        <is>
          <t>Bước 4: Kéo các công thức xuống các dòng còn lại; vùng tra cứu được cố định bằng dấu $.</t>
        </is>
      </c>
      <c r="B19" s="5" t="n"/>
      <c r="C19" s="5" t="n"/>
      <c r="D19" s="5" t="n"/>
    </row>
    <row r="20" ht="34" customHeight="1">
      <c r="A20" s="7" t="inlineStr">
        <is>
          <t>Bước 5: Kiểm tra các mã có khoảng trắng và ba mã tác giả ngoài danh mục.</t>
        </is>
      </c>
      <c r="B20" s="5" t="n"/>
      <c r="C20" s="5" t="n"/>
      <c r="D20" s="5" t="n"/>
    </row>
    <row r="21" ht="34" customHeight="1">
      <c r="A21" s="7" t="inlineStr">
        <is>
          <t>Bước 6: Lưu file Excel và tải file cùng phần phân tích lên repository GitHub.</t>
        </is>
      </c>
      <c r="B21" s="5" t="n"/>
      <c r="C21" s="5" t="n"/>
      <c r="D21" s="5" t="n"/>
    </row>
    <row r="22" ht="34" customHeight="1">
      <c r="A22" s="7" t="inlineStr">
        <is>
          <t>Bước 7: Đặt tên repository theo mẫu [Tên Lớp]_[Môn Học]_[Session bài học]_[Bài], rồi nộp URL lên Portal.</t>
        </is>
      </c>
      <c r="B22" s="5" t="n"/>
      <c r="C22" s="5" t="n"/>
      <c r="D22" s="5" t="n"/>
    </row>
    <row r="23" ht="34" customHeight="1">
      <c r="A23" s="5" t="n"/>
      <c r="B23" s="5" t="n"/>
      <c r="C23" s="5" t="n"/>
      <c r="D23" s="5" t="n"/>
    </row>
    <row r="24" ht="34" customHeight="1">
      <c r="A24" s="5" t="n"/>
      <c r="B24" s="5" t="n"/>
      <c r="C24" s="5" t="n"/>
      <c r="D24" s="5" t="n"/>
    </row>
    <row r="25" ht="34" customHeight="1">
      <c r="A25" s="6" t="inlineStr">
        <is>
          <t>PHẦN 2: TRIỂN KHAI &amp; CHỐNG LỖI</t>
        </is>
      </c>
      <c r="B25" s="5" t="n"/>
      <c r="C25" s="5" t="n"/>
      <c r="D25" s="5" t="n"/>
    </row>
    <row r="26" ht="34" customHeight="1">
      <c r="A26" s="7" t="inlineStr">
        <is>
          <t>4. Ô D2 - Tên tác giả</t>
        </is>
      </c>
      <c r="B26" s="5">
        <f>IFERROR(VLOOKUP(TRIM(C2),'DanhMucTacGia'!$A$2:$E$81,2,FALSE),"Chưa cập nhật")</f>
        <v/>
      </c>
      <c r="C26" s="5" t="n"/>
      <c r="D26" s="5" t="n"/>
    </row>
    <row r="27" ht="34" customHeight="1">
      <c r="A27" s="7" t="inlineStr">
        <is>
          <t>5. Ô E2 - Phòng</t>
        </is>
      </c>
      <c r="B27" s="5">
        <f>IFERROR(VLOOKUP(TRIM(C2),'DanhMucTacGia'!$A$2:$E$81,4,FALSE),"Chưa cập nhật")</f>
        <v/>
      </c>
      <c r="C27" s="5" t="n"/>
      <c r="D27" s="5" t="n"/>
    </row>
    <row r="28" ht="34" customHeight="1">
      <c r="A28" s="7" t="inlineStr">
        <is>
          <t>5. Ô F2 - Thù lao</t>
        </is>
      </c>
      <c r="B28" s="5">
        <f>IFERROR(VLOOKUP(TRIM(C2),'DanhMucTacGia'!$A$2:$E$81,5,FALSE),"Chưa cập nhật")</f>
        <v/>
      </c>
      <c r="C28" s="5" t="n"/>
      <c r="D28" s="5" t="n"/>
    </row>
    <row r="29" ht="34" customHeight="1">
      <c r="A29" s="5" t="n"/>
      <c r="B29" s="5" t="n"/>
      <c r="C29" s="5" t="n"/>
      <c r="D29" s="5" t="n"/>
    </row>
    <row r="30" ht="34" customHeight="1">
      <c r="A30" s="7" t="inlineStr">
        <is>
          <t>Vì sao chỉ cần thay Col_index_num?</t>
        </is>
      </c>
      <c r="B30" s="5" t="inlineStr">
        <is>
          <t>Vì mã tác giả và vùng tra cứu giống nhau ở cả ba công thức. Chỉ số 2, 4, 5 chọn cột kết quả tương ứng: Tên tác giả, Phòng, Thù lao.</t>
        </is>
      </c>
      <c r="C30" s="5" t="n"/>
      <c r="D30" s="5" t="n"/>
    </row>
    <row r="31" ht="34" customHeight="1">
      <c r="A31" s="5" t="n"/>
      <c r="B31" s="5" t="n"/>
      <c r="C31" s="5" t="n"/>
      <c r="D31" s="5" t="n"/>
    </row>
    <row r="32" ht="34" customHeight="1">
      <c r="A32" s="7" t="inlineStr">
        <is>
          <t>6. Nếu bỏ dấu $ trong Table_array</t>
        </is>
      </c>
      <c r="B32" s="5" t="inlineStr">
        <is>
          <t>Ví dụ công thức D2 dùng 'DanhMucTacGia'!A2:E81. Khi kéo xuống D5, Excel dịch vùng thành 'DanhMucTacGia'!A5:E84. Vùng tra cứu bị trôi nên có thể bỏ sót mã ở đầu danh mục và trả kết quả sai hoặc #N/A.</t>
        </is>
      </c>
      <c r="C32" s="5" t="n"/>
      <c r="D32" s="5" t="n"/>
    </row>
    <row r="33" ht="34" customHeight="1">
      <c r="A33" s="5" t="n"/>
      <c r="B33" s="5" t="n"/>
      <c r="C33" s="5" t="n"/>
      <c r="D33" s="5" t="n"/>
    </row>
    <row r="34" ht="34" customHeight="1">
      <c r="A34" s="7" t="inlineStr">
        <is>
          <t>Cách sửa</t>
        </is>
      </c>
      <c r="B34" s="5" t="inlineStr">
        <is>
          <t>Dùng 'DanhMucTacGia'!$A$2:$E$81 để giữ nguyên vùng tra cứu khi kéo công thức.</t>
        </is>
      </c>
      <c r="C34" s="5" t="n"/>
      <c r="D34" s="5" t="n"/>
    </row>
    <row r="35" ht="34" customHeight="1">
      <c r="A35" s="5" t="n"/>
      <c r="B35" s="5" t="n"/>
      <c r="C35" s="5" t="n"/>
      <c r="D35" s="5" t="n"/>
    </row>
    <row r="36" ht="34" customHeight="1">
      <c r="A36" s="8" t="inlineStr">
        <is>
          <t>LƯU Ý VỀ DỮ LIỆU MẪU</t>
        </is>
      </c>
      <c r="B36" s="5" t="inlineStr">
        <is>
          <t>Đề bài chỉ cung cấp thông tin mẫu cho TG001, TG002, TG003 và không cung cấp dữ liệu gốc của 80 báo cáo. Các dòng báo cáo trong file này được tạo để minh họa thao tác; hãy thay bằng dữ liệu thật nếu giảng viên đã cung cấp.</t>
        </is>
      </c>
      <c r="C36" s="5" t="n"/>
      <c r="D36" s="5" t="n"/>
    </row>
    <row r="37" ht="34" customHeight="1">
      <c r="A37" s="5" t="n"/>
      <c r="B37" s="5" t="n"/>
      <c r="C37" s="5" t="n"/>
      <c r="D37" s="5" t="n"/>
    </row>
    <row r="38" ht="34" customHeight="1">
      <c r="A38" s="7" t="inlineStr">
        <is>
          <t>Tên repository theo yêu cầu</t>
        </is>
      </c>
      <c r="B38" s="5" t="inlineStr">
        <is>
          <t>[Tên Lớp]_[Môn Học]_[Session bài học]_[Bài]</t>
        </is>
      </c>
      <c r="C38" s="5" t="n"/>
      <c r="D38" s="5" t="n"/>
    </row>
    <row r="39" ht="34" customHeight="1">
      <c r="A39" s="7" t="inlineStr">
        <is>
          <t>Ví dụ tham khảo</t>
        </is>
      </c>
      <c r="B39" s="5" t="inlineStr">
        <is>
          <t>HCMKS26CNTT2_Excel_Session11_VLOOKUP (sửa theo đúng môn học/session của lớp bạn)</t>
        </is>
      </c>
      <c r="C39" s="5" t="n"/>
      <c r="D39" s="5" t="n"/>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2026-10-20T03:50:56Z</dcterms:created>
  <dcterms:modified xmlns:dcterms="http://purl.org/dc/terms/" xmlns:xsi="http://www.w3.org/2001/XMLSchema-instance" xsi:type="dcterms:W3CDTF">2026-10-20T03:50:56Z</dcterms:modified>
</cp:coreProperties>
</file>